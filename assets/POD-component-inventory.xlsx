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Atoms" sheetId="2" r:id="rId6"/>
    <sheet state="visible" name="Molecules" sheetId="3" r:id="rId7"/>
    <sheet state="visible" name="Tables" sheetId="4" r:id="rId8"/>
    <sheet state="visible" name="Organisms" sheetId="5" r:id="rId9"/>
    <sheet state="visible" name="Pages" sheetId="6" r:id="rId10"/>
    <sheet state="visible" name="KPI Fragmentation" sheetId="7" r:id="rId11"/>
  </sheets>
  <definedNames/>
  <calcPr/>
</workbook>
</file>

<file path=xl/sharedStrings.xml><?xml version="1.0" encoding="utf-8"?>
<sst xmlns="http://schemas.openxmlformats.org/spreadsheetml/2006/main" count="417" uniqueCount="252">
  <si>
    <t>Manager OS NAV — Component Inventory</t>
  </si>
  <si>
    <t>Generated from component-inventory.md (source: manager-os-nav-bundle.html, 7280 lines)</t>
  </si>
  <si>
    <t>Purpose</t>
  </si>
  <si>
    <t>Single source of truth mapping mockup components → Storybook codebase components → Figma components.</t>
  </si>
  <si>
    <t>Source file</t>
  </si>
  <si>
    <t>manager-os-nav-bundle.html (JSX-style React mock)</t>
  </si>
  <si>
    <t>Sheets</t>
  </si>
  <si>
    <t>Atoms, Molecules, Tables, Organisms, Pages, KPI Fragmentation</t>
  </si>
  <si>
    <t>Column meaning</t>
  </si>
  <si>
    <t>Section</t>
  </si>
  <si>
    <t>Page or area of the app the element belongs to.</t>
  </si>
  <si>
    <t>Element</t>
  </si>
  <si>
    <t>Component name as it appears in the mockup.</t>
  </si>
  <si>
    <t>Type</t>
  </si>
  <si>
    <t>Atom / Molecule / Organism / Template / Page.</t>
  </si>
  <si>
    <t>Source line</t>
  </si>
  <si>
    <t>Line in manager-os-nav-bundle.html for cross-checking.</t>
  </si>
  <si>
    <t>Codebase component</t>
  </si>
  <si>
    <t>Corresponding component in Elysium/packages/app/components/ (fill in).</t>
  </si>
  <si>
    <t>Codebase path</t>
  </si>
  <si>
    <t>Path relative to the repo root (fill in).</t>
  </si>
  <si>
    <t>Figma component</t>
  </si>
  <si>
    <t>Matching component in the Figma design system (fill in).</t>
  </si>
  <si>
    <t>Figma variants</t>
  </si>
  <si>
    <t>Variants used / required (fill in).</t>
  </si>
  <si>
    <t>Consolidation status</t>
  </si>
  <si>
    <t>Matches / Fragmented / Missing / Needs variant / Needs new component / Deprecated.</t>
  </si>
  <si>
    <t>Comments</t>
  </si>
  <si>
    <t>Purpose pulled from the markdown plus any notes.</t>
  </si>
  <si>
    <t>Ready for prod</t>
  </si>
  <si>
    <t>Yes / No / WIP.</t>
  </si>
  <si>
    <t>Key observation</t>
  </si>
  <si>
    <t>Mockup has 2 KPI primitives (Kpi, KpiCard); codebase has 11 KPI molecules. See the KPI Fragmentation sheet.</t>
  </si>
  <si>
    <t>Atoms</t>
  </si>
  <si>
    <t>Small, single-purpose primitives.</t>
  </si>
  <si>
    <t>Icon</t>
  </si>
  <si>
    <t>Atom</t>
  </si>
  <si>
    <t>Icon set (multiple glyphs)</t>
  </si>
  <si>
    <t>TargetChip</t>
  </si>
  <si>
    <t>Status chip with tone</t>
  </si>
  <si>
    <t>Avatar</t>
  </si>
  <si>
    <t>User avatar with initials/icon + unread dot</t>
  </si>
  <si>
    <t>TabChip</t>
  </si>
  <si>
    <t>Chip-style tab</t>
  </si>
  <si>
    <t>AttrMarker</t>
  </si>
  <si>
    <t>Attribution marker</t>
  </si>
  <si>
    <t>StatusChip</t>
  </si>
  <si>
    <t>Generic status pill</t>
  </si>
  <si>
    <t>StatusChipX</t>
  </si>
  <si>
    <t>Order book status variant</t>
  </si>
  <si>
    <t>OrderTypeTag</t>
  </si>
  <si>
    <t>Order type label</t>
  </si>
  <si>
    <t>PageKebab</t>
  </si>
  <si>
    <t>Overflow / kebab button</t>
  </si>
  <si>
    <t>SegToggle</t>
  </si>
  <si>
    <t>Segmented control</t>
  </si>
  <si>
    <t>ThemeSegment</t>
  </si>
  <si>
    <t>Theme switcher</t>
  </si>
  <si>
    <t>Toggle</t>
  </si>
  <si>
    <t>Switch</t>
  </si>
  <si>
    <t>MarginBar</t>
  </si>
  <si>
    <t>Margin / progress bar</t>
  </si>
  <si>
    <t>LockupChip</t>
  </si>
  <si>
    <t>Lockup period chip</t>
  </si>
  <si>
    <t>KycChip</t>
  </si>
  <si>
    <t>KYC status chip</t>
  </si>
  <si>
    <t>ClassStatusChip</t>
  </si>
  <si>
    <t>Share class status</t>
  </si>
  <si>
    <t>PageBtn</t>
  </si>
  <si>
    <t>Pagination button</t>
  </si>
  <si>
    <t>StatusBadge</t>
  </si>
  <si>
    <t>Status badge</t>
  </si>
  <si>
    <t>BellSnoozeIcon</t>
  </si>
  <si>
    <t>Bell w/ snooze indicator</t>
  </si>
  <si>
    <t>InvestorStatusPill</t>
  </si>
  <si>
    <t>Investor status</t>
  </si>
  <si>
    <t>KycBadge</t>
  </si>
  <si>
    <t>KYC badge</t>
  </si>
  <si>
    <t>LockupBadge</t>
  </si>
  <si>
    <t>Lockup badge</t>
  </si>
  <si>
    <t>EntityIcon</t>
  </si>
  <si>
    <t>Entity-type icon</t>
  </si>
  <si>
    <t>InputSuffix / InputPrefix</t>
  </si>
  <si>
    <t>3734 / 3740</t>
  </si>
  <si>
    <t>Input adornments</t>
  </si>
  <si>
    <t>SubTitle</t>
  </si>
  <si>
    <t>Section subtitle</t>
  </si>
  <si>
    <t>DurationLegendRow</t>
  </si>
  <si>
    <t>Chart legend row</t>
  </si>
  <si>
    <t>Molecules</t>
  </si>
  <si>
    <t>Composed functional units (2+ atoms working together).</t>
  </si>
  <si>
    <t>Kpi</t>
  </si>
  <si>
    <t>Molecule</t>
  </si>
  <si>
    <t>KPI value + label + delta (inline strip)</t>
  </si>
  <si>
    <t>KpiCard</t>
  </si>
  <si>
    <t>KPI tile (card variant)</t>
  </si>
  <si>
    <t>SectionHead</t>
  </si>
  <si>
    <t>Section title + desc + CTA + right slot</t>
  </si>
  <si>
    <t>SectionHeadE</t>
  </si>
  <si>
    <t>Economics section head variant</t>
  </si>
  <si>
    <t>BSSectionHead</t>
  </si>
  <si>
    <t>Balance sheet section head</t>
  </si>
  <si>
    <t>SubCard</t>
  </si>
  <si>
    <t>Sub-card with amount / pct / action</t>
  </si>
  <si>
    <t>FilterBar</t>
  </si>
  <si>
    <t>Filter row (range + chips)</t>
  </si>
  <si>
    <t>FloatingField</t>
  </si>
  <si>
    <t>Labeled input w/ prefix / suffix / options</t>
  </si>
  <si>
    <t>NextDealingCountdown</t>
  </si>
  <si>
    <t>Countdown display</t>
  </si>
  <si>
    <t>NotifRow</t>
  </si>
  <si>
    <t>Notification list row</t>
  </si>
  <si>
    <t>NavItem</t>
  </si>
  <si>
    <t>Sidebar nav item</t>
  </si>
  <si>
    <t>ExpandableItem</t>
  </si>
  <si>
    <t>Sidebar expandable group</t>
  </si>
  <si>
    <t>RiskCard</t>
  </si>
  <si>
    <t>Risk metric + peer comparison</t>
  </si>
  <si>
    <t>ClassCard</t>
  </si>
  <si>
    <t>Share class summary card</t>
  </si>
  <si>
    <t>BSRow</t>
  </si>
  <si>
    <t>Balance sheet line row</t>
  </si>
  <si>
    <t>BSSection</t>
  </si>
  <si>
    <t>Balance sheet sub-section</t>
  </si>
  <si>
    <t>NotesBlock</t>
  </si>
  <si>
    <t>Notes / details block</t>
  </si>
  <si>
    <t>VenuePicker</t>
  </si>
  <si>
    <t>Venue selector</t>
  </si>
  <si>
    <t>StatusGroup</t>
  </si>
  <si>
    <t>Status item group</t>
  </si>
  <si>
    <t>StatusPanel</t>
  </si>
  <si>
    <t>Capacity / status overview</t>
  </si>
  <si>
    <t>RiskCheckList</t>
  </si>
  <si>
    <t>Risk checklist</t>
  </si>
  <si>
    <t>HoldingBars</t>
  </si>
  <si>
    <t>Horizontal holdings bars</t>
  </si>
  <si>
    <t>FeeBars</t>
  </si>
  <si>
    <t>Fee comparison bars</t>
  </si>
  <si>
    <t>ConcentrationPie</t>
  </si>
  <si>
    <t>Concentration pie</t>
  </si>
  <si>
    <t>DurationDonut</t>
  </si>
  <si>
    <t>Duration donut</t>
  </si>
  <si>
    <t>Donut</t>
  </si>
  <si>
    <t>Generic donut</t>
  </si>
  <si>
    <t>DonutChart</t>
  </si>
  <si>
    <t>Interactive donut (hover)</t>
  </si>
  <si>
    <t>NavChart</t>
  </si>
  <si>
    <t>NAV trend line</t>
  </si>
  <si>
    <t>PerformanceChart</t>
  </si>
  <si>
    <t>Performance line w/ range</t>
  </si>
  <si>
    <t>SpotRow</t>
  </si>
  <si>
    <t>Spot positions table row</t>
  </si>
  <si>
    <t>DerivativeRow</t>
  </si>
  <si>
    <t>Derivatives table row</t>
  </si>
  <si>
    <t>Tables</t>
  </si>
  <si>
    <t>16+ distinct tables across the app.</t>
  </si>
  <si>
    <t>Order Book</t>
  </si>
  <si>
    <t>Table 1 — Order book entries</t>
  </si>
  <si>
    <t>Order book entries</t>
  </si>
  <si>
    <t>Collateral / Treasury</t>
  </si>
  <si>
    <t>Table 2 — Spot positions</t>
  </si>
  <si>
    <t>Spot positions</t>
  </si>
  <si>
    <t>Table 3 — Derivatives positions</t>
  </si>
  <si>
    <t>Derivatives positions</t>
  </si>
  <si>
    <t>Share Register</t>
  </si>
  <si>
    <t>Table 4 — Investor share register</t>
  </si>
  <si>
    <t>Investor share register</t>
  </si>
  <si>
    <t>Table 5 — Share classes</t>
  </si>
  <si>
    <t>Share classes</t>
  </si>
  <si>
    <t>Reconciliation</t>
  </si>
  <si>
    <t>Table 6 — Reconciliation log</t>
  </si>
  <si>
    <t>Reconciliation log</t>
  </si>
  <si>
    <t>P&amp;L</t>
  </si>
  <si>
    <t>Table 7 — P&amp;L by strategy</t>
  </si>
  <si>
    <t>P&amp;L by strategy</t>
  </si>
  <si>
    <t>Table 8 — P&amp;L by asset</t>
  </si>
  <si>
    <t>P&amp;L by asset</t>
  </si>
  <si>
    <t>Table 9 — Fees &amp; expenses</t>
  </si>
  <si>
    <t>Fees &amp; expenses</t>
  </si>
  <si>
    <t>Economics</t>
  </si>
  <si>
    <t>Table 10 — Fees earned</t>
  </si>
  <si>
    <t>Fees earned</t>
  </si>
  <si>
    <t>Table 11 — Fees earned sub-table</t>
  </si>
  <si>
    <t>Fees earned sub-table</t>
  </si>
  <si>
    <t>Table 12 — Expenses paid</t>
  </si>
  <si>
    <t>Expenses paid</t>
  </si>
  <si>
    <t>Overview</t>
  </si>
  <si>
    <t>Table 13 — Recent activity</t>
  </si>
  <si>
    <t>Recent activity</t>
  </si>
  <si>
    <t>Home</t>
  </si>
  <si>
    <t>Table 14 — Home table (needs context check)</t>
  </si>
  <si>
    <t>Home table (needs context check)</t>
  </si>
  <si>
    <t>Investors</t>
  </si>
  <si>
    <t>Table 15 — Investors list</t>
  </si>
  <si>
    <t>Investors list</t>
  </si>
  <si>
    <t>Investor Profile</t>
  </si>
  <si>
    <t>Table 16 — Investor profile table A</t>
  </si>
  <si>
    <t>Investor profile table A</t>
  </si>
  <si>
    <t>Table 17 — Investor profile table B</t>
  </si>
  <si>
    <t>Investor profile table B</t>
  </si>
  <si>
    <t>Organisms / overlays</t>
  </si>
  <si>
    <t>Composed sections, multi-molecule (drawers, modals, sheets, full sections).</t>
  </si>
  <si>
    <t>Navbar</t>
  </si>
  <si>
    <t>Organism</t>
  </si>
  <si>
    <t>Sidebar</t>
  </si>
  <si>
    <t>FeedbackModal</t>
  </si>
  <si>
    <t>SideSheet</t>
  </si>
  <si>
    <t>OrderDrawer</t>
  </si>
  <si>
    <t>MoveCollateralSheet</t>
  </si>
  <si>
    <t>ShareClassSheet</t>
  </si>
  <si>
    <t>SnoozeModal</t>
  </si>
  <si>
    <t>IncomeStatement</t>
  </si>
  <si>
    <t>Attribution</t>
  </si>
  <si>
    <t>PerformanceSection</t>
  </si>
  <si>
    <t>RisksSection</t>
  </si>
  <si>
    <t>Pages</t>
  </si>
  <si>
    <t>Top-level views.</t>
  </si>
  <si>
    <t>HomeView</t>
  </si>
  <si>
    <t>Page</t>
  </si>
  <si>
    <t>NavView</t>
  </si>
  <si>
    <t>OrderBookView</t>
  </si>
  <si>
    <t>CollateralView</t>
  </si>
  <si>
    <t>ShareRegisterView</t>
  </si>
  <si>
    <t>ShareClassesView</t>
  </si>
  <si>
    <t>ReconciliationView</t>
  </si>
  <si>
    <t>ProfitLossView</t>
  </si>
  <si>
    <t>BalanceSheetView</t>
  </si>
  <si>
    <t>EconomicsView</t>
  </si>
  <si>
    <t>OverviewView</t>
  </si>
  <si>
    <t>ActionsView</t>
  </si>
  <si>
    <t>InvestorsView</t>
  </si>
  <si>
    <t>InvestorProfileView</t>
  </si>
  <si>
    <t>KPI Fragmentation</t>
  </si>
  <si>
    <t>Mockup has 2 KPI primitives (Kpi, KpiCard). Codebase has 11 separate KPI molecules. Consolidation target: one component with variants (matching Figma).</t>
  </si>
  <si>
    <t>#</t>
  </si>
  <si>
    <t>Maps to mockup primitive</t>
  </si>
  <si>
    <t>Notes / variant needed</t>
  </si>
  <si>
    <t>ShareClassKPIs</t>
  </si>
  <si>
    <t>Kpi / KpiCard</t>
  </si>
  <si>
    <t>ManagerFundEconomicsKpiStrip</t>
  </si>
  <si>
    <t>BalanceSheetKpiStrip</t>
  </si>
  <si>
    <t>ManagerKpiStrip</t>
  </si>
  <si>
    <t>ShareClassFeesKPIs</t>
  </si>
  <si>
    <t>ProfitLossKpiGrid</t>
  </si>
  <si>
    <t>ManagerFundNAVKpiHeadline</t>
  </si>
  <si>
    <t>ManagerFundOrderBookKpis</t>
  </si>
  <si>
    <t>ReconciliationKpiStrip</t>
  </si>
  <si>
    <t>BlendedKpiStrip</t>
  </si>
  <si>
    <t>UpcomingFlowsKpiTiles</t>
  </si>
  <si>
    <t>Total codebase KPI molecules</t>
  </si>
  <si>
    <t>Mockup primitives</t>
  </si>
  <si>
    <t>Reduction factor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</si>
</sst>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\x"/>
  </numFmts>
  <fonts count="9">
    <font>
      <sz val="11.0"/>
      <color theme="1"/>
      <name val="Calibri"/>
      <scheme val="minor"/>
    </font>
    <font>
      <b/>
      <sz val="16.0"/>
      <color rgb="FF111827"/>
      <name val="Arial"/>
    </font>
    <font>
      <i/>
      <sz val="10.0"/>
      <color rgb="FF6B7280"/>
      <name val="Arial"/>
    </font>
    <font>
      <b/>
      <sz val="10.0"/>
      <color rgb="FF111827"/>
      <name val="Arial"/>
    </font>
    <font>
      <sz val="10.0"/>
      <color theme="1"/>
      <name val="Arial"/>
    </font>
    <font>
      <b/>
      <sz val="14.0"/>
      <color rgb="FF111827"/>
      <name val="Arial"/>
    </font>
    <font>
      <i/>
      <color rgb="FF6B7280"/>
      <name val="Arial"/>
    </font>
    <font>
      <b/>
      <sz val="11.0"/>
      <color rgb="FFFFFFFF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1" fillId="2" fontId="7" numFmtId="0" xfId="0" applyAlignment="1" applyBorder="1" applyFill="1" applyFont="1">
      <alignment horizontal="center" shrinkToFit="0" vertical="center" wrapText="0"/>
    </xf>
    <xf borderId="1" fillId="0" fontId="4" numFmtId="0" xfId="0" applyAlignment="1" applyBorder="1" applyFont="1">
      <alignment horizontal="left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top" wrapText="1"/>
    </xf>
    <xf borderId="0" fillId="0" fontId="8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90.0"/>
    <col customWidth="1" min="3" max="26" width="8.71"/>
  </cols>
  <sheetData>
    <row r="1">
      <c r="A1" s="1" t="s">
        <v>0</v>
      </c>
    </row>
    <row r="2">
      <c r="A2" s="2" t="s">
        <v>1</v>
      </c>
    </row>
    <row r="3">
      <c r="A3" s="3"/>
      <c r="B3" s="4"/>
    </row>
    <row r="4">
      <c r="A4" s="3" t="s">
        <v>2</v>
      </c>
      <c r="B4" s="4" t="s">
        <v>3</v>
      </c>
    </row>
    <row r="5">
      <c r="A5" s="3" t="s">
        <v>4</v>
      </c>
      <c r="B5" s="4" t="s">
        <v>5</v>
      </c>
    </row>
    <row r="6">
      <c r="A6" s="3" t="s">
        <v>6</v>
      </c>
      <c r="B6" s="4" t="s">
        <v>7</v>
      </c>
    </row>
    <row r="7">
      <c r="A7" s="3"/>
      <c r="B7" s="4"/>
    </row>
    <row r="8">
      <c r="A8" s="3" t="s">
        <v>8</v>
      </c>
      <c r="B8" s="4"/>
    </row>
    <row r="9">
      <c r="A9" s="3" t="s">
        <v>9</v>
      </c>
      <c r="B9" s="4" t="s">
        <v>10</v>
      </c>
    </row>
    <row r="10">
      <c r="A10" s="3" t="s">
        <v>11</v>
      </c>
      <c r="B10" s="4" t="s">
        <v>12</v>
      </c>
    </row>
    <row r="11">
      <c r="A11" s="3" t="s">
        <v>13</v>
      </c>
      <c r="B11" s="4" t="s">
        <v>14</v>
      </c>
    </row>
    <row r="12">
      <c r="A12" s="3" t="s">
        <v>15</v>
      </c>
      <c r="B12" s="4" t="s">
        <v>16</v>
      </c>
    </row>
    <row r="13">
      <c r="A13" s="3" t="s">
        <v>17</v>
      </c>
      <c r="B13" s="4" t="s">
        <v>18</v>
      </c>
    </row>
    <row r="14">
      <c r="A14" s="3" t="s">
        <v>19</v>
      </c>
      <c r="B14" s="4" t="s">
        <v>20</v>
      </c>
    </row>
    <row r="15">
      <c r="A15" s="3" t="s">
        <v>21</v>
      </c>
      <c r="B15" s="4" t="s">
        <v>22</v>
      </c>
    </row>
    <row r="16">
      <c r="A16" s="3" t="s">
        <v>23</v>
      </c>
      <c r="B16" s="4" t="s">
        <v>24</v>
      </c>
    </row>
    <row r="17">
      <c r="A17" s="3" t="s">
        <v>25</v>
      </c>
      <c r="B17" s="4" t="s">
        <v>26</v>
      </c>
    </row>
    <row r="18">
      <c r="A18" s="3" t="s">
        <v>27</v>
      </c>
      <c r="B18" s="4" t="s">
        <v>28</v>
      </c>
    </row>
    <row r="19">
      <c r="A19" s="3" t="s">
        <v>29</v>
      </c>
      <c r="B19" s="4" t="s">
        <v>30</v>
      </c>
    </row>
    <row r="20">
      <c r="A20" s="3"/>
      <c r="B20" s="4"/>
    </row>
    <row r="21" ht="15.75" customHeight="1">
      <c r="A21" s="3" t="s">
        <v>31</v>
      </c>
      <c r="B21" s="4" t="s">
        <v>32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3" width="12.0"/>
    <col customWidth="1" min="4" max="4" width="26.0"/>
    <col customWidth="1" min="5" max="5" width="32.0"/>
    <col customWidth="1" min="6" max="7" width="26.0"/>
    <col customWidth="1" min="8" max="8" width="22.0"/>
    <col customWidth="1" min="9" max="9" width="50.0"/>
    <col customWidth="1" min="10" max="10" width="20.86"/>
    <col customWidth="1" min="11" max="25" width="8.71"/>
  </cols>
  <sheetData>
    <row r="1" ht="21.75" customHeight="1">
      <c r="A1" s="5" t="s">
        <v>33</v>
      </c>
    </row>
    <row r="2" ht="18.0" customHeight="1">
      <c r="A2" s="6" t="s">
        <v>34</v>
      </c>
    </row>
    <row r="4" ht="21.75" customHeight="1">
      <c r="A4" s="7" t="s">
        <v>11</v>
      </c>
      <c r="B4" s="7" t="s">
        <v>13</v>
      </c>
      <c r="C4" s="7" t="s">
        <v>15</v>
      </c>
      <c r="D4" s="7" t="s">
        <v>17</v>
      </c>
      <c r="E4" s="7" t="s">
        <v>19</v>
      </c>
      <c r="F4" s="7" t="s">
        <v>21</v>
      </c>
      <c r="G4" s="7" t="s">
        <v>23</v>
      </c>
      <c r="H4" s="7" t="s">
        <v>25</v>
      </c>
      <c r="I4" s="7" t="s">
        <v>27</v>
      </c>
      <c r="J4" s="7" t="s">
        <v>29</v>
      </c>
    </row>
    <row r="5">
      <c r="A5" s="8" t="s">
        <v>35</v>
      </c>
      <c r="B5" s="8" t="s">
        <v>36</v>
      </c>
      <c r="C5" s="9">
        <v>630.0</v>
      </c>
      <c r="D5" s="8"/>
      <c r="E5" s="8"/>
      <c r="F5" s="8"/>
      <c r="G5" s="8"/>
      <c r="H5" s="8"/>
      <c r="I5" s="10" t="s">
        <v>37</v>
      </c>
      <c r="J5" s="9"/>
    </row>
    <row r="6">
      <c r="A6" s="8" t="s">
        <v>38</v>
      </c>
      <c r="B6" s="8" t="s">
        <v>36</v>
      </c>
      <c r="C6" s="9">
        <v>912.0</v>
      </c>
      <c r="D6" s="8"/>
      <c r="E6" s="8"/>
      <c r="F6" s="8"/>
      <c r="G6" s="8"/>
      <c r="H6" s="8"/>
      <c r="I6" s="10" t="s">
        <v>39</v>
      </c>
      <c r="J6" s="9"/>
    </row>
    <row r="7">
      <c r="A7" s="8" t="s">
        <v>40</v>
      </c>
      <c r="B7" s="8" t="s">
        <v>36</v>
      </c>
      <c r="C7" s="9">
        <v>927.0</v>
      </c>
      <c r="D7" s="8"/>
      <c r="E7" s="8"/>
      <c r="F7" s="8"/>
      <c r="G7" s="8"/>
      <c r="H7" s="8"/>
      <c r="I7" s="10" t="s">
        <v>41</v>
      </c>
      <c r="J7" s="9"/>
    </row>
    <row r="8">
      <c r="A8" s="8" t="s">
        <v>42</v>
      </c>
      <c r="B8" s="8" t="s">
        <v>36</v>
      </c>
      <c r="C8" s="9">
        <v>1007.0</v>
      </c>
      <c r="D8" s="8"/>
      <c r="E8" s="8"/>
      <c r="F8" s="8"/>
      <c r="G8" s="8"/>
      <c r="H8" s="8"/>
      <c r="I8" s="10" t="s">
        <v>43</v>
      </c>
      <c r="J8" s="9"/>
    </row>
    <row r="9">
      <c r="A9" s="8" t="s">
        <v>44</v>
      </c>
      <c r="B9" s="8" t="s">
        <v>36</v>
      </c>
      <c r="C9" s="9">
        <v>1942.0</v>
      </c>
      <c r="D9" s="8"/>
      <c r="E9" s="8"/>
      <c r="F9" s="8"/>
      <c r="G9" s="8"/>
      <c r="H9" s="8"/>
      <c r="I9" s="10" t="s">
        <v>45</v>
      </c>
      <c r="J9" s="9"/>
    </row>
    <row r="10">
      <c r="A10" s="8" t="s">
        <v>46</v>
      </c>
      <c r="B10" s="8" t="s">
        <v>36</v>
      </c>
      <c r="C10" s="9">
        <v>1994.0</v>
      </c>
      <c r="D10" s="8"/>
      <c r="E10" s="8"/>
      <c r="F10" s="8"/>
      <c r="G10" s="8"/>
      <c r="H10" s="8"/>
      <c r="I10" s="10" t="s">
        <v>47</v>
      </c>
      <c r="J10" s="9"/>
    </row>
    <row r="11">
      <c r="A11" s="8" t="s">
        <v>48</v>
      </c>
      <c r="B11" s="8" t="s">
        <v>36</v>
      </c>
      <c r="C11" s="9">
        <v>2507.0</v>
      </c>
      <c r="D11" s="8"/>
      <c r="E11" s="8"/>
      <c r="F11" s="8"/>
      <c r="G11" s="8"/>
      <c r="H11" s="8"/>
      <c r="I11" s="10" t="s">
        <v>49</v>
      </c>
      <c r="J11" s="9"/>
    </row>
    <row r="12">
      <c r="A12" s="8" t="s">
        <v>50</v>
      </c>
      <c r="B12" s="8" t="s">
        <v>36</v>
      </c>
      <c r="C12" s="9">
        <v>2502.0</v>
      </c>
      <c r="D12" s="8"/>
      <c r="E12" s="8"/>
      <c r="F12" s="8"/>
      <c r="G12" s="8"/>
      <c r="H12" s="8"/>
      <c r="I12" s="10" t="s">
        <v>51</v>
      </c>
      <c r="J12" s="9"/>
    </row>
    <row r="13">
      <c r="A13" s="8" t="s">
        <v>52</v>
      </c>
      <c r="B13" s="8" t="s">
        <v>36</v>
      </c>
      <c r="C13" s="9">
        <v>1902.0</v>
      </c>
      <c r="D13" s="8"/>
      <c r="E13" s="8"/>
      <c r="F13" s="8"/>
      <c r="G13" s="8"/>
      <c r="H13" s="8"/>
      <c r="I13" s="10" t="s">
        <v>53</v>
      </c>
      <c r="J13" s="9"/>
    </row>
    <row r="14">
      <c r="A14" s="8" t="s">
        <v>54</v>
      </c>
      <c r="B14" s="8" t="s">
        <v>36</v>
      </c>
      <c r="C14" s="9">
        <v>1966.0</v>
      </c>
      <c r="D14" s="8"/>
      <c r="E14" s="8"/>
      <c r="F14" s="8"/>
      <c r="G14" s="8"/>
      <c r="H14" s="8"/>
      <c r="I14" s="10" t="s">
        <v>55</v>
      </c>
      <c r="J14" s="9"/>
    </row>
    <row r="15">
      <c r="A15" s="8" t="s">
        <v>56</v>
      </c>
      <c r="B15" s="8" t="s">
        <v>36</v>
      </c>
      <c r="C15" s="9">
        <v>1441.0</v>
      </c>
      <c r="D15" s="8"/>
      <c r="E15" s="8"/>
      <c r="F15" s="8"/>
      <c r="G15" s="8"/>
      <c r="H15" s="8"/>
      <c r="I15" s="10" t="s">
        <v>57</v>
      </c>
      <c r="J15" s="9"/>
    </row>
    <row r="16">
      <c r="A16" s="8" t="s">
        <v>58</v>
      </c>
      <c r="B16" s="8" t="s">
        <v>36</v>
      </c>
      <c r="C16" s="9">
        <v>3725.0</v>
      </c>
      <c r="D16" s="8"/>
      <c r="E16" s="8"/>
      <c r="F16" s="8"/>
      <c r="G16" s="8"/>
      <c r="H16" s="8"/>
      <c r="I16" s="10" t="s">
        <v>59</v>
      </c>
      <c r="J16" s="9"/>
    </row>
    <row r="17">
      <c r="A17" s="8" t="s">
        <v>60</v>
      </c>
      <c r="B17" s="8" t="s">
        <v>36</v>
      </c>
      <c r="C17" s="9">
        <v>1982.0</v>
      </c>
      <c r="D17" s="8"/>
      <c r="E17" s="8"/>
      <c r="F17" s="8"/>
      <c r="G17" s="8"/>
      <c r="H17" s="8"/>
      <c r="I17" s="10" t="s">
        <v>61</v>
      </c>
      <c r="J17" s="9"/>
    </row>
    <row r="18">
      <c r="A18" s="8" t="s">
        <v>62</v>
      </c>
      <c r="B18" s="8" t="s">
        <v>36</v>
      </c>
      <c r="C18" s="9">
        <v>3915.0</v>
      </c>
      <c r="D18" s="8"/>
      <c r="E18" s="8"/>
      <c r="F18" s="8"/>
      <c r="G18" s="8"/>
      <c r="H18" s="8"/>
      <c r="I18" s="10" t="s">
        <v>63</v>
      </c>
      <c r="J18" s="9"/>
    </row>
    <row r="19">
      <c r="A19" s="8" t="s">
        <v>64</v>
      </c>
      <c r="B19" s="8" t="s">
        <v>36</v>
      </c>
      <c r="C19" s="9">
        <v>3927.0</v>
      </c>
      <c r="D19" s="8"/>
      <c r="E19" s="8"/>
      <c r="F19" s="8"/>
      <c r="G19" s="8"/>
      <c r="H19" s="8"/>
      <c r="I19" s="10" t="s">
        <v>65</v>
      </c>
      <c r="J19" s="9"/>
    </row>
    <row r="20">
      <c r="A20" s="8" t="s">
        <v>66</v>
      </c>
      <c r="B20" s="8" t="s">
        <v>36</v>
      </c>
      <c r="C20" s="9">
        <v>3888.0</v>
      </c>
      <c r="D20" s="8"/>
      <c r="E20" s="8"/>
      <c r="F20" s="8"/>
      <c r="G20" s="8"/>
      <c r="H20" s="8"/>
      <c r="I20" s="10" t="s">
        <v>67</v>
      </c>
      <c r="J20" s="9"/>
    </row>
    <row r="21" ht="15.75" customHeight="1">
      <c r="A21" s="8" t="s">
        <v>68</v>
      </c>
      <c r="B21" s="8" t="s">
        <v>36</v>
      </c>
      <c r="C21" s="9">
        <v>3903.0</v>
      </c>
      <c r="D21" s="8"/>
      <c r="E21" s="8"/>
      <c r="F21" s="8"/>
      <c r="G21" s="8"/>
      <c r="H21" s="8"/>
      <c r="I21" s="10" t="s">
        <v>69</v>
      </c>
      <c r="J21" s="9"/>
    </row>
    <row r="22" ht="15.75" customHeight="1">
      <c r="A22" s="8" t="s">
        <v>70</v>
      </c>
      <c r="B22" s="8" t="s">
        <v>36</v>
      </c>
      <c r="C22" s="9">
        <v>5274.0</v>
      </c>
      <c r="D22" s="8"/>
      <c r="E22" s="8"/>
      <c r="F22" s="8"/>
      <c r="G22" s="8"/>
      <c r="H22" s="8"/>
      <c r="I22" s="10" t="s">
        <v>71</v>
      </c>
      <c r="J22" s="9"/>
    </row>
    <row r="23" ht="15.75" customHeight="1">
      <c r="A23" s="8" t="s">
        <v>72</v>
      </c>
      <c r="B23" s="8" t="s">
        <v>36</v>
      </c>
      <c r="C23" s="9">
        <v>5319.0</v>
      </c>
      <c r="D23" s="8"/>
      <c r="E23" s="8"/>
      <c r="F23" s="8"/>
      <c r="G23" s="8"/>
      <c r="H23" s="8"/>
      <c r="I23" s="10" t="s">
        <v>73</v>
      </c>
      <c r="J23" s="9"/>
    </row>
    <row r="24" ht="15.75" customHeight="1">
      <c r="A24" s="8" t="s">
        <v>74</v>
      </c>
      <c r="B24" s="8" t="s">
        <v>36</v>
      </c>
      <c r="C24" s="9">
        <v>5943.0</v>
      </c>
      <c r="D24" s="8"/>
      <c r="E24" s="8"/>
      <c r="F24" s="8"/>
      <c r="G24" s="8"/>
      <c r="H24" s="8"/>
      <c r="I24" s="10" t="s">
        <v>75</v>
      </c>
      <c r="J24" s="9"/>
    </row>
    <row r="25" ht="15.75" customHeight="1">
      <c r="A25" s="8" t="s">
        <v>76</v>
      </c>
      <c r="B25" s="8" t="s">
        <v>36</v>
      </c>
      <c r="C25" s="9">
        <v>5952.0</v>
      </c>
      <c r="D25" s="8"/>
      <c r="E25" s="8"/>
      <c r="F25" s="8"/>
      <c r="G25" s="8"/>
      <c r="H25" s="8"/>
      <c r="I25" s="10" t="s">
        <v>77</v>
      </c>
      <c r="J25" s="9"/>
    </row>
    <row r="26" ht="15.75" customHeight="1">
      <c r="A26" s="8" t="s">
        <v>78</v>
      </c>
      <c r="B26" s="8" t="s">
        <v>36</v>
      </c>
      <c r="C26" s="9">
        <v>5967.0</v>
      </c>
      <c r="D26" s="8"/>
      <c r="E26" s="8"/>
      <c r="F26" s="8"/>
      <c r="G26" s="8"/>
      <c r="H26" s="8"/>
      <c r="I26" s="10" t="s">
        <v>79</v>
      </c>
      <c r="J26" s="9"/>
    </row>
    <row r="27" ht="15.75" customHeight="1">
      <c r="A27" s="8" t="s">
        <v>80</v>
      </c>
      <c r="B27" s="8" t="s">
        <v>36</v>
      </c>
      <c r="C27" s="9">
        <v>4038.0</v>
      </c>
      <c r="D27" s="8"/>
      <c r="E27" s="8"/>
      <c r="F27" s="8"/>
      <c r="G27" s="8"/>
      <c r="H27" s="8"/>
      <c r="I27" s="10" t="s">
        <v>81</v>
      </c>
      <c r="J27" s="9"/>
    </row>
    <row r="28" ht="15.75" customHeight="1">
      <c r="A28" s="8" t="s">
        <v>82</v>
      </c>
      <c r="B28" s="8" t="s">
        <v>36</v>
      </c>
      <c r="C28" s="9" t="s">
        <v>83</v>
      </c>
      <c r="D28" s="8"/>
      <c r="E28" s="8"/>
      <c r="F28" s="8"/>
      <c r="G28" s="8"/>
      <c r="H28" s="8"/>
      <c r="I28" s="10" t="s">
        <v>84</v>
      </c>
      <c r="J28" s="9"/>
    </row>
    <row r="29" ht="15.75" customHeight="1">
      <c r="A29" s="8" t="s">
        <v>85</v>
      </c>
      <c r="B29" s="8" t="s">
        <v>36</v>
      </c>
      <c r="C29" s="9">
        <v>1932.0</v>
      </c>
      <c r="D29" s="8"/>
      <c r="E29" s="8"/>
      <c r="F29" s="8"/>
      <c r="G29" s="8"/>
      <c r="H29" s="8"/>
      <c r="I29" s="10" t="s">
        <v>86</v>
      </c>
      <c r="J29" s="9"/>
    </row>
    <row r="30" ht="15.75" customHeight="1">
      <c r="A30" s="8" t="s">
        <v>87</v>
      </c>
      <c r="B30" s="8" t="s">
        <v>36</v>
      </c>
      <c r="C30" s="9">
        <v>3957.0</v>
      </c>
      <c r="D30" s="8"/>
      <c r="E30" s="8"/>
      <c r="F30" s="8"/>
      <c r="G30" s="8"/>
      <c r="H30" s="8"/>
      <c r="I30" s="10" t="s">
        <v>88</v>
      </c>
      <c r="J30" s="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dataValidations>
    <dataValidation type="list" allowBlank="1" sqref="J5:J30">
      <formula1>"Yes,No,WIP"</formula1>
    </dataValidation>
    <dataValidation type="list" allowBlank="1" sqref="H5:H30">
      <formula1>"Matches,Fragmented,Missing,Needs variant,Needs new component,Deprecated"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3" width="12.0"/>
    <col customWidth="1" min="4" max="4" width="26.0"/>
    <col customWidth="1" min="5" max="5" width="32.0"/>
    <col customWidth="1" min="6" max="7" width="26.0"/>
    <col customWidth="1" min="8" max="8" width="22.0"/>
    <col customWidth="1" min="9" max="9" width="50.0"/>
    <col customWidth="1" min="10" max="10" width="14.0"/>
    <col customWidth="1" min="11" max="25" width="8.71"/>
  </cols>
  <sheetData>
    <row r="1" ht="21.75" customHeight="1">
      <c r="A1" s="5" t="s">
        <v>89</v>
      </c>
    </row>
    <row r="2" ht="18.0" customHeight="1">
      <c r="A2" s="6" t="s">
        <v>90</v>
      </c>
    </row>
    <row r="4" ht="21.75" customHeight="1">
      <c r="A4" s="7" t="s">
        <v>11</v>
      </c>
      <c r="B4" s="7" t="s">
        <v>13</v>
      </c>
      <c r="C4" s="7" t="s">
        <v>15</v>
      </c>
      <c r="D4" s="7" t="s">
        <v>17</v>
      </c>
      <c r="E4" s="7" t="s">
        <v>19</v>
      </c>
      <c r="F4" s="7" t="s">
        <v>21</v>
      </c>
      <c r="G4" s="7" t="s">
        <v>23</v>
      </c>
      <c r="H4" s="7" t="s">
        <v>25</v>
      </c>
      <c r="I4" s="7" t="s">
        <v>27</v>
      </c>
      <c r="J4" s="7" t="s">
        <v>29</v>
      </c>
    </row>
    <row r="5">
      <c r="A5" s="8" t="s">
        <v>91</v>
      </c>
      <c r="B5" s="8" t="s">
        <v>92</v>
      </c>
      <c r="C5" s="9">
        <v>1888.0</v>
      </c>
      <c r="D5" s="8"/>
      <c r="E5" s="8"/>
      <c r="F5" s="8"/>
      <c r="G5" s="8"/>
      <c r="H5" s="8"/>
      <c r="I5" s="10" t="s">
        <v>93</v>
      </c>
      <c r="J5" s="9"/>
    </row>
    <row r="6">
      <c r="A6" s="8" t="s">
        <v>94</v>
      </c>
      <c r="B6" s="8" t="s">
        <v>92</v>
      </c>
      <c r="C6" s="9">
        <v>4897.0</v>
      </c>
      <c r="D6" s="8"/>
      <c r="E6" s="8"/>
      <c r="F6" s="8"/>
      <c r="G6" s="8"/>
      <c r="H6" s="8"/>
      <c r="I6" s="10" t="s">
        <v>95</v>
      </c>
      <c r="J6" s="9"/>
    </row>
    <row r="7">
      <c r="A7" s="8" t="s">
        <v>96</v>
      </c>
      <c r="B7" s="8" t="s">
        <v>92</v>
      </c>
      <c r="C7" s="9">
        <v>1910.0</v>
      </c>
      <c r="D7" s="8"/>
      <c r="E7" s="8"/>
      <c r="F7" s="8"/>
      <c r="G7" s="8"/>
      <c r="H7" s="8"/>
      <c r="I7" s="10" t="s">
        <v>97</v>
      </c>
      <c r="J7" s="9"/>
    </row>
    <row r="8">
      <c r="A8" s="8" t="s">
        <v>98</v>
      </c>
      <c r="B8" s="8" t="s">
        <v>92</v>
      </c>
      <c r="C8" s="9">
        <v>4910.0</v>
      </c>
      <c r="D8" s="8"/>
      <c r="E8" s="8"/>
      <c r="F8" s="8"/>
      <c r="G8" s="8"/>
      <c r="H8" s="8"/>
      <c r="I8" s="10" t="s">
        <v>99</v>
      </c>
      <c r="J8" s="9"/>
    </row>
    <row r="9">
      <c r="A9" s="8" t="s">
        <v>100</v>
      </c>
      <c r="B9" s="8" t="s">
        <v>92</v>
      </c>
      <c r="C9" s="9">
        <v>4635.0</v>
      </c>
      <c r="D9" s="8"/>
      <c r="E9" s="8"/>
      <c r="F9" s="8"/>
      <c r="G9" s="8"/>
      <c r="H9" s="8"/>
      <c r="I9" s="10" t="s">
        <v>101</v>
      </c>
      <c r="J9" s="9"/>
    </row>
    <row r="10">
      <c r="A10" s="8" t="s">
        <v>102</v>
      </c>
      <c r="B10" s="8" t="s">
        <v>92</v>
      </c>
      <c r="C10" s="9">
        <v>4918.0</v>
      </c>
      <c r="D10" s="8"/>
      <c r="E10" s="8"/>
      <c r="F10" s="8"/>
      <c r="G10" s="8"/>
      <c r="H10" s="8"/>
      <c r="I10" s="10" t="s">
        <v>103</v>
      </c>
      <c r="J10" s="9"/>
    </row>
    <row r="11">
      <c r="A11" s="8" t="s">
        <v>104</v>
      </c>
      <c r="B11" s="8" t="s">
        <v>92</v>
      </c>
      <c r="C11" s="9">
        <v>4588.0</v>
      </c>
      <c r="D11" s="8"/>
      <c r="E11" s="8"/>
      <c r="F11" s="8"/>
      <c r="G11" s="8"/>
      <c r="H11" s="8"/>
      <c r="I11" s="10" t="s">
        <v>105</v>
      </c>
      <c r="J11" s="9"/>
    </row>
    <row r="12">
      <c r="A12" s="8" t="s">
        <v>106</v>
      </c>
      <c r="B12" s="8" t="s">
        <v>92</v>
      </c>
      <c r="C12" s="9">
        <v>3562.0</v>
      </c>
      <c r="D12" s="8"/>
      <c r="E12" s="8"/>
      <c r="F12" s="8"/>
      <c r="G12" s="8"/>
      <c r="H12" s="8"/>
      <c r="I12" s="10" t="s">
        <v>107</v>
      </c>
      <c r="J12" s="9"/>
    </row>
    <row r="13">
      <c r="A13" s="8" t="s">
        <v>108</v>
      </c>
      <c r="B13" s="8" t="s">
        <v>92</v>
      </c>
      <c r="C13" s="9">
        <v>839.0</v>
      </c>
      <c r="D13" s="8"/>
      <c r="E13" s="8"/>
      <c r="F13" s="8"/>
      <c r="G13" s="8"/>
      <c r="H13" s="8"/>
      <c r="I13" s="10" t="s">
        <v>109</v>
      </c>
      <c r="J13" s="9"/>
    </row>
    <row r="14">
      <c r="A14" s="8" t="s">
        <v>110</v>
      </c>
      <c r="B14" s="8" t="s">
        <v>92</v>
      </c>
      <c r="C14" s="9">
        <v>952.0</v>
      </c>
      <c r="D14" s="8"/>
      <c r="E14" s="8"/>
      <c r="F14" s="8"/>
      <c r="G14" s="8"/>
      <c r="H14" s="8"/>
      <c r="I14" s="10" t="s">
        <v>111</v>
      </c>
      <c r="J14" s="9"/>
    </row>
    <row r="15">
      <c r="A15" s="8" t="s">
        <v>112</v>
      </c>
      <c r="B15" s="8" t="s">
        <v>92</v>
      </c>
      <c r="C15" s="9">
        <v>1319.0</v>
      </c>
      <c r="D15" s="8"/>
      <c r="E15" s="8"/>
      <c r="F15" s="8"/>
      <c r="G15" s="8"/>
      <c r="H15" s="8"/>
      <c r="I15" s="10" t="s">
        <v>113</v>
      </c>
      <c r="J15" s="9"/>
    </row>
    <row r="16">
      <c r="A16" s="8" t="s">
        <v>114</v>
      </c>
      <c r="B16" s="8" t="s">
        <v>92</v>
      </c>
      <c r="C16" s="9">
        <v>1337.0</v>
      </c>
      <c r="D16" s="8"/>
      <c r="E16" s="8"/>
      <c r="F16" s="8"/>
      <c r="G16" s="8"/>
      <c r="H16" s="8"/>
      <c r="I16" s="10" t="s">
        <v>115</v>
      </c>
      <c r="J16" s="9"/>
    </row>
    <row r="17">
      <c r="A17" s="8" t="s">
        <v>116</v>
      </c>
      <c r="B17" s="8" t="s">
        <v>92</v>
      </c>
      <c r="C17" s="9">
        <v>2323.0</v>
      </c>
      <c r="D17" s="8"/>
      <c r="E17" s="8"/>
      <c r="F17" s="8"/>
      <c r="G17" s="8"/>
      <c r="H17" s="8"/>
      <c r="I17" s="10" t="s">
        <v>117</v>
      </c>
      <c r="J17" s="9"/>
    </row>
    <row r="18">
      <c r="A18" s="8" t="s">
        <v>118</v>
      </c>
      <c r="B18" s="8" t="s">
        <v>92</v>
      </c>
      <c r="C18" s="9">
        <v>5288.0</v>
      </c>
      <c r="D18" s="8"/>
      <c r="E18" s="8"/>
      <c r="F18" s="8"/>
      <c r="G18" s="8"/>
      <c r="H18" s="8"/>
      <c r="I18" s="10" t="s">
        <v>119</v>
      </c>
      <c r="J18" s="9"/>
    </row>
    <row r="19">
      <c r="A19" s="8" t="s">
        <v>120</v>
      </c>
      <c r="B19" s="8" t="s">
        <v>92</v>
      </c>
      <c r="C19" s="9">
        <v>4644.0</v>
      </c>
      <c r="D19" s="8"/>
      <c r="E19" s="8"/>
      <c r="F19" s="8"/>
      <c r="G19" s="8"/>
      <c r="H19" s="8"/>
      <c r="I19" s="10" t="s">
        <v>121</v>
      </c>
      <c r="J19" s="9"/>
    </row>
    <row r="20">
      <c r="A20" s="8" t="s">
        <v>122</v>
      </c>
      <c r="B20" s="8" t="s">
        <v>92</v>
      </c>
      <c r="C20" s="9">
        <v>1947.0</v>
      </c>
      <c r="D20" s="8"/>
      <c r="E20" s="8"/>
      <c r="F20" s="8"/>
      <c r="G20" s="8"/>
      <c r="H20" s="8"/>
      <c r="I20" s="10" t="s">
        <v>123</v>
      </c>
      <c r="J20" s="9"/>
    </row>
    <row r="21" ht="15.75" customHeight="1">
      <c r="A21" s="8" t="s">
        <v>124</v>
      </c>
      <c r="B21" s="8" t="s">
        <v>92</v>
      </c>
      <c r="C21" s="9">
        <v>4653.0</v>
      </c>
      <c r="D21" s="8"/>
      <c r="E21" s="8"/>
      <c r="F21" s="8"/>
      <c r="G21" s="8"/>
      <c r="H21" s="8"/>
      <c r="I21" s="10" t="s">
        <v>125</v>
      </c>
      <c r="J21" s="9"/>
    </row>
    <row r="22" ht="15.75" customHeight="1">
      <c r="A22" s="8" t="s">
        <v>126</v>
      </c>
      <c r="B22" s="8" t="s">
        <v>92</v>
      </c>
      <c r="C22" s="9">
        <v>3034.0</v>
      </c>
      <c r="D22" s="8"/>
      <c r="E22" s="8"/>
      <c r="F22" s="8"/>
      <c r="G22" s="8"/>
      <c r="H22" s="8"/>
      <c r="I22" s="10" t="s">
        <v>127</v>
      </c>
      <c r="J22" s="9"/>
    </row>
    <row r="23" ht="15.75" customHeight="1">
      <c r="A23" s="8" t="s">
        <v>128</v>
      </c>
      <c r="B23" s="8" t="s">
        <v>92</v>
      </c>
      <c r="C23" s="9">
        <v>5260.0</v>
      </c>
      <c r="D23" s="8"/>
      <c r="E23" s="8"/>
      <c r="F23" s="8"/>
      <c r="G23" s="8"/>
      <c r="H23" s="8"/>
      <c r="I23" s="10" t="s">
        <v>129</v>
      </c>
      <c r="J23" s="9"/>
    </row>
    <row r="24" ht="15.75" customHeight="1">
      <c r="A24" s="8" t="s">
        <v>130</v>
      </c>
      <c r="B24" s="8" t="s">
        <v>92</v>
      </c>
      <c r="C24" s="9">
        <v>5189.0</v>
      </c>
      <c r="D24" s="8"/>
      <c r="E24" s="8"/>
      <c r="F24" s="8"/>
      <c r="G24" s="8"/>
      <c r="H24" s="8"/>
      <c r="I24" s="10" t="s">
        <v>131</v>
      </c>
      <c r="J24" s="9"/>
    </row>
    <row r="25" ht="15.75" customHeight="1">
      <c r="A25" s="8" t="s">
        <v>132</v>
      </c>
      <c r="B25" s="8" t="s">
        <v>92</v>
      </c>
      <c r="C25" s="9">
        <v>2980.0</v>
      </c>
      <c r="D25" s="8"/>
      <c r="E25" s="8"/>
      <c r="F25" s="8"/>
      <c r="G25" s="8"/>
      <c r="H25" s="8"/>
      <c r="I25" s="10" t="s">
        <v>133</v>
      </c>
      <c r="J25" s="9"/>
    </row>
    <row r="26" ht="15.75" customHeight="1">
      <c r="A26" s="8" t="s">
        <v>134</v>
      </c>
      <c r="B26" s="8" t="s">
        <v>92</v>
      </c>
      <c r="C26" s="9">
        <v>3941.0</v>
      </c>
      <c r="D26" s="8"/>
      <c r="E26" s="8"/>
      <c r="F26" s="8"/>
      <c r="G26" s="8"/>
      <c r="H26" s="8"/>
      <c r="I26" s="10" t="s">
        <v>135</v>
      </c>
      <c r="J26" s="9"/>
    </row>
    <row r="27" ht="15.75" customHeight="1">
      <c r="A27" s="8" t="s">
        <v>136</v>
      </c>
      <c r="B27" s="8" t="s">
        <v>92</v>
      </c>
      <c r="C27" s="9">
        <v>4954.0</v>
      </c>
      <c r="D27" s="8"/>
      <c r="E27" s="8"/>
      <c r="F27" s="8"/>
      <c r="G27" s="8"/>
      <c r="H27" s="8"/>
      <c r="I27" s="10" t="s">
        <v>137</v>
      </c>
      <c r="J27" s="9"/>
    </row>
    <row r="28" ht="15.75" customHeight="1">
      <c r="A28" s="8" t="s">
        <v>138</v>
      </c>
      <c r="B28" s="8" t="s">
        <v>92</v>
      </c>
      <c r="C28" s="9">
        <v>4021.0</v>
      </c>
      <c r="D28" s="8"/>
      <c r="E28" s="8"/>
      <c r="F28" s="8"/>
      <c r="G28" s="8"/>
      <c r="H28" s="8"/>
      <c r="I28" s="10" t="s">
        <v>139</v>
      </c>
      <c r="J28" s="9"/>
    </row>
    <row r="29" ht="15.75" customHeight="1">
      <c r="A29" s="8" t="s">
        <v>140</v>
      </c>
      <c r="B29" s="8" t="s">
        <v>92</v>
      </c>
      <c r="C29" s="9">
        <v>3967.0</v>
      </c>
      <c r="D29" s="8"/>
      <c r="E29" s="8"/>
      <c r="F29" s="8"/>
      <c r="G29" s="8"/>
      <c r="H29" s="8"/>
      <c r="I29" s="10" t="s">
        <v>141</v>
      </c>
      <c r="J29" s="9"/>
    </row>
    <row r="30" ht="15.75" customHeight="1">
      <c r="A30" s="8" t="s">
        <v>142</v>
      </c>
      <c r="B30" s="8" t="s">
        <v>92</v>
      </c>
      <c r="C30" s="9">
        <v>817.0</v>
      </c>
      <c r="D30" s="8"/>
      <c r="E30" s="8"/>
      <c r="F30" s="8"/>
      <c r="G30" s="8"/>
      <c r="H30" s="8"/>
      <c r="I30" s="10" t="s">
        <v>143</v>
      </c>
      <c r="J30" s="9"/>
    </row>
    <row r="31" ht="15.75" customHeight="1">
      <c r="A31" s="8" t="s">
        <v>144</v>
      </c>
      <c r="B31" s="8" t="s">
        <v>92</v>
      </c>
      <c r="C31" s="9">
        <v>1779.0</v>
      </c>
      <c r="D31" s="8"/>
      <c r="E31" s="8"/>
      <c r="F31" s="8"/>
      <c r="G31" s="8"/>
      <c r="H31" s="8"/>
      <c r="I31" s="10" t="s">
        <v>145</v>
      </c>
      <c r="J31" s="9"/>
    </row>
    <row r="32" ht="15.75" customHeight="1">
      <c r="A32" s="8" t="s">
        <v>146</v>
      </c>
      <c r="B32" s="8" t="s">
        <v>92</v>
      </c>
      <c r="C32" s="9">
        <v>677.0</v>
      </c>
      <c r="D32" s="8"/>
      <c r="E32" s="8"/>
      <c r="F32" s="8"/>
      <c r="G32" s="8"/>
      <c r="H32" s="8"/>
      <c r="I32" s="10" t="s">
        <v>147</v>
      </c>
      <c r="J32" s="9"/>
    </row>
    <row r="33" ht="15.75" customHeight="1">
      <c r="A33" s="8" t="s">
        <v>148</v>
      </c>
      <c r="B33" s="8" t="s">
        <v>92</v>
      </c>
      <c r="C33" s="9">
        <v>2120.0</v>
      </c>
      <c r="D33" s="8"/>
      <c r="E33" s="8"/>
      <c r="F33" s="8"/>
      <c r="G33" s="8"/>
      <c r="H33" s="8"/>
      <c r="I33" s="10" t="s">
        <v>149</v>
      </c>
      <c r="J33" s="9"/>
    </row>
    <row r="34" ht="15.75" customHeight="1">
      <c r="A34" s="8" t="s">
        <v>150</v>
      </c>
      <c r="B34" s="8" t="s">
        <v>92</v>
      </c>
      <c r="C34" s="9">
        <v>2021.0</v>
      </c>
      <c r="D34" s="8"/>
      <c r="E34" s="8"/>
      <c r="F34" s="8"/>
      <c r="G34" s="8"/>
      <c r="H34" s="8"/>
      <c r="I34" s="10" t="s">
        <v>151</v>
      </c>
      <c r="J34" s="9"/>
    </row>
    <row r="35" ht="15.75" customHeight="1">
      <c r="A35" s="8" t="s">
        <v>152</v>
      </c>
      <c r="B35" s="8" t="s">
        <v>92</v>
      </c>
      <c r="C35" s="9">
        <v>2041.0</v>
      </c>
      <c r="D35" s="8"/>
      <c r="E35" s="8"/>
      <c r="F35" s="8"/>
      <c r="G35" s="8"/>
      <c r="H35" s="8"/>
      <c r="I35" s="10" t="s">
        <v>153</v>
      </c>
      <c r="J35" s="9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dataValidations>
    <dataValidation type="list" allowBlank="1" sqref="J5:J35">
      <formula1>"Yes,No,WIP"</formula1>
    </dataValidation>
    <dataValidation type="list" allowBlank="1" sqref="H5:H35">
      <formula1>"Matches,Fragmented,Missing,Needs variant,Needs new component,Deprecated"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26.0"/>
    <col customWidth="1" min="3" max="4" width="12.0"/>
    <col customWidth="1" min="5" max="5" width="26.0"/>
    <col customWidth="1" min="6" max="6" width="32.0"/>
    <col customWidth="1" min="7" max="8" width="26.0"/>
    <col customWidth="1" min="9" max="9" width="22.0"/>
    <col customWidth="1" min="10" max="10" width="50.0"/>
    <col customWidth="1" min="11" max="11" width="14.0"/>
    <col customWidth="1" min="12" max="26" width="8.71"/>
  </cols>
  <sheetData>
    <row r="1" ht="21.75" customHeight="1">
      <c r="A1" s="11" t="s">
        <v>154</v>
      </c>
    </row>
    <row r="2" ht="18.0" customHeight="1">
      <c r="A2" s="2" t="s">
        <v>155</v>
      </c>
    </row>
    <row r="4" ht="21.75" customHeight="1">
      <c r="A4" s="7" t="s">
        <v>9</v>
      </c>
      <c r="B4" s="7" t="s">
        <v>11</v>
      </c>
      <c r="C4" s="7" t="s">
        <v>13</v>
      </c>
      <c r="D4" s="7" t="s">
        <v>15</v>
      </c>
      <c r="E4" s="7" t="s">
        <v>17</v>
      </c>
      <c r="F4" s="7" t="s">
        <v>19</v>
      </c>
      <c r="G4" s="7" t="s">
        <v>21</v>
      </c>
      <c r="H4" s="7" t="s">
        <v>23</v>
      </c>
      <c r="I4" s="7" t="s">
        <v>25</v>
      </c>
      <c r="J4" s="7" t="s">
        <v>27</v>
      </c>
      <c r="K4" s="7" t="s">
        <v>29</v>
      </c>
    </row>
    <row r="5">
      <c r="A5" s="8" t="s">
        <v>156</v>
      </c>
      <c r="B5" s="8" t="s">
        <v>157</v>
      </c>
      <c r="C5" s="8" t="s">
        <v>92</v>
      </c>
      <c r="D5" s="9">
        <v>2457.0</v>
      </c>
      <c r="E5" s="8"/>
      <c r="F5" s="8"/>
      <c r="G5" s="8"/>
      <c r="H5" s="8"/>
      <c r="I5" s="8"/>
      <c r="J5" s="10" t="s">
        <v>158</v>
      </c>
      <c r="K5" s="9"/>
    </row>
    <row r="6">
      <c r="A6" s="8" t="s">
        <v>159</v>
      </c>
      <c r="B6" s="8" t="s">
        <v>160</v>
      </c>
      <c r="C6" s="8" t="s">
        <v>92</v>
      </c>
      <c r="D6" s="9">
        <v>2744.0</v>
      </c>
      <c r="E6" s="8"/>
      <c r="F6" s="8"/>
      <c r="G6" s="8"/>
      <c r="H6" s="8"/>
      <c r="I6" s="8"/>
      <c r="J6" s="10" t="s">
        <v>161</v>
      </c>
      <c r="K6" s="9"/>
    </row>
    <row r="7">
      <c r="A7" s="8" t="s">
        <v>159</v>
      </c>
      <c r="B7" s="8" t="s">
        <v>162</v>
      </c>
      <c r="C7" s="8" t="s">
        <v>92</v>
      </c>
      <c r="D7" s="9">
        <v>2814.0</v>
      </c>
      <c r="E7" s="8"/>
      <c r="F7" s="8"/>
      <c r="G7" s="8"/>
      <c r="H7" s="8"/>
      <c r="I7" s="8"/>
      <c r="J7" s="10" t="s">
        <v>163</v>
      </c>
      <c r="K7" s="9"/>
    </row>
    <row r="8">
      <c r="A8" s="8" t="s">
        <v>164</v>
      </c>
      <c r="B8" s="8" t="s">
        <v>165</v>
      </c>
      <c r="C8" s="8" t="s">
        <v>92</v>
      </c>
      <c r="D8" s="9">
        <v>3331.0</v>
      </c>
      <c r="E8" s="8"/>
      <c r="F8" s="8"/>
      <c r="G8" s="8"/>
      <c r="H8" s="8"/>
      <c r="I8" s="8"/>
      <c r="J8" s="10" t="s">
        <v>166</v>
      </c>
      <c r="K8" s="9"/>
    </row>
    <row r="9">
      <c r="A9" s="8" t="s">
        <v>164</v>
      </c>
      <c r="B9" s="8" t="s">
        <v>167</v>
      </c>
      <c r="C9" s="8" t="s">
        <v>92</v>
      </c>
      <c r="D9" s="9">
        <v>3506.0</v>
      </c>
      <c r="E9" s="8"/>
      <c r="F9" s="8"/>
      <c r="G9" s="8"/>
      <c r="H9" s="8"/>
      <c r="I9" s="8"/>
      <c r="J9" s="10" t="s">
        <v>168</v>
      </c>
      <c r="K9" s="9"/>
    </row>
    <row r="10">
      <c r="A10" s="8" t="s">
        <v>169</v>
      </c>
      <c r="B10" s="8" t="s">
        <v>170</v>
      </c>
      <c r="C10" s="8" t="s">
        <v>92</v>
      </c>
      <c r="D10" s="9">
        <v>4082.0</v>
      </c>
      <c r="E10" s="8"/>
      <c r="F10" s="8"/>
      <c r="G10" s="8"/>
      <c r="H10" s="8"/>
      <c r="I10" s="8"/>
      <c r="J10" s="10" t="s">
        <v>171</v>
      </c>
      <c r="K10" s="9"/>
    </row>
    <row r="11">
      <c r="A11" s="8" t="s">
        <v>172</v>
      </c>
      <c r="B11" s="8" t="s">
        <v>173</v>
      </c>
      <c r="C11" s="8" t="s">
        <v>92</v>
      </c>
      <c r="D11" s="9">
        <v>4267.0</v>
      </c>
      <c r="E11" s="8"/>
      <c r="F11" s="8"/>
      <c r="G11" s="8"/>
      <c r="H11" s="8"/>
      <c r="I11" s="8"/>
      <c r="J11" s="10" t="s">
        <v>174</v>
      </c>
      <c r="K11" s="9"/>
    </row>
    <row r="12">
      <c r="A12" s="8" t="s">
        <v>172</v>
      </c>
      <c r="B12" s="8" t="s">
        <v>175</v>
      </c>
      <c r="C12" s="8" t="s">
        <v>92</v>
      </c>
      <c r="D12" s="9">
        <v>4315.0</v>
      </c>
      <c r="E12" s="8"/>
      <c r="F12" s="8"/>
      <c r="G12" s="8"/>
      <c r="H12" s="8"/>
      <c r="I12" s="8"/>
      <c r="J12" s="10" t="s">
        <v>176</v>
      </c>
      <c r="K12" s="9"/>
    </row>
    <row r="13">
      <c r="A13" s="8" t="s">
        <v>172</v>
      </c>
      <c r="B13" s="8" t="s">
        <v>177</v>
      </c>
      <c r="C13" s="8" t="s">
        <v>92</v>
      </c>
      <c r="D13" s="9">
        <v>4384.0</v>
      </c>
      <c r="E13" s="8"/>
      <c r="F13" s="8"/>
      <c r="G13" s="8"/>
      <c r="H13" s="8"/>
      <c r="I13" s="8"/>
      <c r="J13" s="10" t="s">
        <v>178</v>
      </c>
      <c r="K13" s="9"/>
    </row>
    <row r="14">
      <c r="A14" s="8" t="s">
        <v>179</v>
      </c>
      <c r="B14" s="8" t="s">
        <v>180</v>
      </c>
      <c r="C14" s="8" t="s">
        <v>92</v>
      </c>
      <c r="D14" s="9">
        <v>4792.0</v>
      </c>
      <c r="E14" s="8"/>
      <c r="F14" s="8"/>
      <c r="G14" s="8"/>
      <c r="H14" s="8"/>
      <c r="I14" s="8"/>
      <c r="J14" s="10" t="s">
        <v>181</v>
      </c>
      <c r="K14" s="9"/>
    </row>
    <row r="15">
      <c r="A15" s="8" t="s">
        <v>179</v>
      </c>
      <c r="B15" s="8" t="s">
        <v>182</v>
      </c>
      <c r="C15" s="8" t="s">
        <v>92</v>
      </c>
      <c r="D15" s="9">
        <v>4816.0</v>
      </c>
      <c r="E15" s="8"/>
      <c r="F15" s="8"/>
      <c r="G15" s="8"/>
      <c r="H15" s="8"/>
      <c r="I15" s="8"/>
      <c r="J15" s="10" t="s">
        <v>183</v>
      </c>
      <c r="K15" s="9"/>
    </row>
    <row r="16">
      <c r="A16" s="8" t="s">
        <v>179</v>
      </c>
      <c r="B16" s="8" t="s">
        <v>184</v>
      </c>
      <c r="C16" s="8" t="s">
        <v>92</v>
      </c>
      <c r="D16" s="9">
        <v>4853.0</v>
      </c>
      <c r="E16" s="8"/>
      <c r="F16" s="8"/>
      <c r="G16" s="8"/>
      <c r="H16" s="8"/>
      <c r="I16" s="8"/>
      <c r="J16" s="10" t="s">
        <v>185</v>
      </c>
      <c r="K16" s="9"/>
    </row>
    <row r="17">
      <c r="A17" s="8" t="s">
        <v>186</v>
      </c>
      <c r="B17" s="8" t="s">
        <v>187</v>
      </c>
      <c r="C17" s="8" t="s">
        <v>92</v>
      </c>
      <c r="D17" s="9">
        <v>5109.0</v>
      </c>
      <c r="E17" s="8"/>
      <c r="F17" s="8"/>
      <c r="G17" s="8"/>
      <c r="H17" s="8"/>
      <c r="I17" s="8"/>
      <c r="J17" s="10" t="s">
        <v>188</v>
      </c>
      <c r="K17" s="9"/>
    </row>
    <row r="18">
      <c r="A18" s="8" t="s">
        <v>189</v>
      </c>
      <c r="B18" s="8" t="s">
        <v>190</v>
      </c>
      <c r="C18" s="8" t="s">
        <v>92</v>
      </c>
      <c r="D18" s="9">
        <v>5770.0</v>
      </c>
      <c r="E18" s="8"/>
      <c r="F18" s="8"/>
      <c r="G18" s="8"/>
      <c r="H18" s="8"/>
      <c r="I18" s="8"/>
      <c r="J18" s="10" t="s">
        <v>191</v>
      </c>
      <c r="K18" s="9"/>
    </row>
    <row r="19">
      <c r="A19" s="8" t="s">
        <v>192</v>
      </c>
      <c r="B19" s="8" t="s">
        <v>193</v>
      </c>
      <c r="C19" s="8" t="s">
        <v>92</v>
      </c>
      <c r="D19" s="9">
        <v>6059.0</v>
      </c>
      <c r="E19" s="8"/>
      <c r="F19" s="8"/>
      <c r="G19" s="8"/>
      <c r="H19" s="8"/>
      <c r="I19" s="8"/>
      <c r="J19" s="10" t="s">
        <v>194</v>
      </c>
      <c r="K19" s="9"/>
    </row>
    <row r="20">
      <c r="A20" s="8" t="s">
        <v>195</v>
      </c>
      <c r="B20" s="8" t="s">
        <v>196</v>
      </c>
      <c r="C20" s="8" t="s">
        <v>92</v>
      </c>
      <c r="D20" s="9">
        <v>6175.0</v>
      </c>
      <c r="E20" s="8"/>
      <c r="F20" s="8"/>
      <c r="G20" s="8"/>
      <c r="H20" s="8"/>
      <c r="I20" s="8"/>
      <c r="J20" s="10" t="s">
        <v>197</v>
      </c>
      <c r="K20" s="9"/>
    </row>
    <row r="21" ht="15.75" customHeight="1">
      <c r="A21" s="8" t="s">
        <v>195</v>
      </c>
      <c r="B21" s="8" t="s">
        <v>198</v>
      </c>
      <c r="C21" s="8" t="s">
        <v>92</v>
      </c>
      <c r="D21" s="9">
        <v>6209.0</v>
      </c>
      <c r="E21" s="8"/>
      <c r="F21" s="8"/>
      <c r="G21" s="8"/>
      <c r="H21" s="8"/>
      <c r="I21" s="8"/>
      <c r="J21" s="10" t="s">
        <v>199</v>
      </c>
      <c r="K21" s="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dataValidations>
    <dataValidation type="list" allowBlank="1" sqref="K5:K21">
      <formula1>"Yes,No,WIP"</formula1>
    </dataValidation>
    <dataValidation type="list" allowBlank="1" sqref="I5:I21">
      <formula1>"Matches,Fragmented,Missing,Needs variant,Needs new component,Deprecated"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3" width="12.0"/>
    <col customWidth="1" min="4" max="4" width="26.0"/>
    <col customWidth="1" min="5" max="5" width="32.0"/>
    <col customWidth="1" min="6" max="7" width="26.0"/>
    <col customWidth="1" min="8" max="8" width="22.0"/>
    <col customWidth="1" min="9" max="9" width="50.0"/>
    <col customWidth="1" min="10" max="10" width="14.0"/>
    <col customWidth="1" min="11" max="25" width="8.71"/>
  </cols>
  <sheetData>
    <row r="1" ht="21.75" customHeight="1">
      <c r="A1" s="5" t="s">
        <v>200</v>
      </c>
    </row>
    <row r="2" ht="18.0" customHeight="1">
      <c r="A2" s="6" t="s">
        <v>201</v>
      </c>
    </row>
    <row r="4" ht="21.75" customHeight="1">
      <c r="A4" s="7" t="s">
        <v>11</v>
      </c>
      <c r="B4" s="7" t="s">
        <v>13</v>
      </c>
      <c r="C4" s="7" t="s">
        <v>15</v>
      </c>
      <c r="D4" s="7" t="s">
        <v>17</v>
      </c>
      <c r="E4" s="7" t="s">
        <v>19</v>
      </c>
      <c r="F4" s="7" t="s">
        <v>21</v>
      </c>
      <c r="G4" s="7" t="s">
        <v>23</v>
      </c>
      <c r="H4" s="7" t="s">
        <v>25</v>
      </c>
      <c r="I4" s="7" t="s">
        <v>27</v>
      </c>
      <c r="J4" s="7" t="s">
        <v>29</v>
      </c>
    </row>
    <row r="5">
      <c r="A5" s="8" t="s">
        <v>202</v>
      </c>
      <c r="B5" s="8" t="s">
        <v>203</v>
      </c>
      <c r="C5" s="9">
        <v>863.0</v>
      </c>
      <c r="D5" s="8"/>
      <c r="E5" s="8"/>
      <c r="F5" s="8"/>
      <c r="G5" s="8"/>
      <c r="H5" s="8"/>
      <c r="I5" s="10"/>
      <c r="J5" s="9"/>
    </row>
    <row r="6">
      <c r="A6" s="8" t="s">
        <v>204</v>
      </c>
      <c r="B6" s="8" t="s">
        <v>203</v>
      </c>
      <c r="C6" s="9">
        <v>1283.0</v>
      </c>
      <c r="D6" s="8"/>
      <c r="E6" s="8"/>
      <c r="F6" s="8"/>
      <c r="G6" s="8"/>
      <c r="H6" s="8"/>
      <c r="I6" s="10"/>
      <c r="J6" s="9"/>
    </row>
    <row r="7">
      <c r="A7" s="8" t="s">
        <v>205</v>
      </c>
      <c r="B7" s="8" t="s">
        <v>203</v>
      </c>
      <c r="C7" s="9">
        <v>1205.0</v>
      </c>
      <c r="D7" s="8"/>
      <c r="E7" s="8"/>
      <c r="F7" s="8"/>
      <c r="G7" s="8"/>
      <c r="H7" s="8"/>
      <c r="I7" s="10"/>
      <c r="J7" s="9"/>
    </row>
    <row r="8">
      <c r="A8" s="8" t="s">
        <v>206</v>
      </c>
      <c r="B8" s="8" t="s">
        <v>203</v>
      </c>
      <c r="C8" s="9">
        <v>2009.0</v>
      </c>
      <c r="D8" s="8"/>
      <c r="E8" s="8"/>
      <c r="F8" s="8"/>
      <c r="G8" s="8"/>
      <c r="H8" s="8"/>
      <c r="I8" s="10"/>
      <c r="J8" s="9"/>
    </row>
    <row r="9">
      <c r="A9" s="8" t="s">
        <v>207</v>
      </c>
      <c r="B9" s="8" t="s">
        <v>203</v>
      </c>
      <c r="C9" s="9">
        <v>2518.0</v>
      </c>
      <c r="D9" s="8"/>
      <c r="E9" s="8"/>
      <c r="F9" s="8"/>
      <c r="G9" s="8"/>
      <c r="H9" s="8"/>
      <c r="I9" s="10"/>
      <c r="J9" s="9"/>
    </row>
    <row r="10">
      <c r="A10" s="8" t="s">
        <v>208</v>
      </c>
      <c r="B10" s="8" t="s">
        <v>203</v>
      </c>
      <c r="C10" s="9">
        <v>2846.0</v>
      </c>
      <c r="D10" s="8"/>
      <c r="E10" s="8"/>
      <c r="F10" s="8"/>
      <c r="G10" s="8"/>
      <c r="H10" s="8"/>
      <c r="I10" s="10"/>
      <c r="J10" s="9"/>
    </row>
    <row r="11">
      <c r="A11" s="8" t="s">
        <v>209</v>
      </c>
      <c r="B11" s="8" t="s">
        <v>203</v>
      </c>
      <c r="C11" s="9">
        <v>3633.0</v>
      </c>
      <c r="D11" s="8"/>
      <c r="E11" s="8"/>
      <c r="F11" s="8"/>
      <c r="G11" s="8"/>
      <c r="H11" s="8"/>
      <c r="I11" s="10"/>
      <c r="J11" s="9"/>
    </row>
    <row r="12">
      <c r="A12" s="8" t="s">
        <v>210</v>
      </c>
      <c r="B12" s="8" t="s">
        <v>203</v>
      </c>
      <c r="C12" s="9">
        <v>5327.0</v>
      </c>
      <c r="D12" s="8"/>
      <c r="E12" s="8"/>
      <c r="F12" s="8"/>
      <c r="G12" s="8"/>
      <c r="H12" s="8"/>
      <c r="I12" s="10"/>
      <c r="J12" s="9"/>
    </row>
    <row r="13">
      <c r="A13" s="8" t="s">
        <v>211</v>
      </c>
      <c r="B13" s="8" t="s">
        <v>203</v>
      </c>
      <c r="C13" s="9">
        <v>4203.0</v>
      </c>
      <c r="D13" s="8"/>
      <c r="E13" s="8"/>
      <c r="F13" s="8"/>
      <c r="G13" s="8"/>
      <c r="H13" s="8"/>
      <c r="I13" s="10"/>
      <c r="J13" s="9"/>
    </row>
    <row r="14">
      <c r="A14" s="8" t="s">
        <v>212</v>
      </c>
      <c r="B14" s="8" t="s">
        <v>203</v>
      </c>
      <c r="C14" s="9">
        <v>4410.0</v>
      </c>
      <c r="D14" s="8"/>
      <c r="E14" s="8"/>
      <c r="F14" s="8"/>
      <c r="G14" s="8"/>
      <c r="H14" s="8"/>
      <c r="I14" s="10"/>
      <c r="J14" s="9"/>
    </row>
    <row r="15">
      <c r="A15" s="8" t="s">
        <v>213</v>
      </c>
      <c r="B15" s="8" t="s">
        <v>203</v>
      </c>
      <c r="C15" s="9">
        <v>2059.0</v>
      </c>
      <c r="D15" s="8"/>
      <c r="E15" s="8"/>
      <c r="F15" s="8"/>
      <c r="G15" s="8"/>
      <c r="H15" s="8"/>
      <c r="I15" s="10"/>
      <c r="J15" s="9"/>
    </row>
    <row r="16">
      <c r="A16" s="8" t="s">
        <v>214</v>
      </c>
      <c r="B16" s="8" t="s">
        <v>203</v>
      </c>
      <c r="C16" s="9">
        <v>2306.0</v>
      </c>
      <c r="D16" s="8"/>
      <c r="E16" s="8"/>
      <c r="F16" s="8"/>
      <c r="G16" s="8"/>
      <c r="H16" s="8"/>
      <c r="I16" s="10"/>
      <c r="J16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dataValidations>
    <dataValidation type="list" allowBlank="1" sqref="J5:J16">
      <formula1>"Yes,No,WIP"</formula1>
    </dataValidation>
    <dataValidation type="list" allowBlank="1" sqref="H5:H16">
      <formula1>"Matches,Fragmented,Missing,Needs variant,Needs new component,Deprecated"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3" width="12.0"/>
    <col customWidth="1" min="4" max="4" width="26.0"/>
    <col customWidth="1" min="5" max="5" width="32.0"/>
    <col customWidth="1" min="6" max="7" width="26.0"/>
    <col customWidth="1" min="8" max="8" width="22.0"/>
    <col customWidth="1" min="9" max="9" width="50.0"/>
    <col customWidth="1" min="10" max="10" width="14.0"/>
    <col customWidth="1" min="11" max="25" width="8.71"/>
  </cols>
  <sheetData>
    <row r="1" ht="21.75" customHeight="1">
      <c r="A1" s="5" t="s">
        <v>215</v>
      </c>
    </row>
    <row r="2" ht="18.0" customHeight="1">
      <c r="A2" s="6" t="s">
        <v>216</v>
      </c>
    </row>
    <row r="4" ht="21.75" customHeight="1">
      <c r="A4" s="7" t="s">
        <v>11</v>
      </c>
      <c r="B4" s="7" t="s">
        <v>13</v>
      </c>
      <c r="C4" s="7" t="s">
        <v>15</v>
      </c>
      <c r="D4" s="7" t="s">
        <v>17</v>
      </c>
      <c r="E4" s="7" t="s">
        <v>19</v>
      </c>
      <c r="F4" s="7" t="s">
        <v>21</v>
      </c>
      <c r="G4" s="7" t="s">
        <v>23</v>
      </c>
      <c r="H4" s="7" t="s">
        <v>25</v>
      </c>
      <c r="I4" s="7" t="s">
        <v>27</v>
      </c>
      <c r="J4" s="7" t="s">
        <v>29</v>
      </c>
    </row>
    <row r="5">
      <c r="A5" s="8" t="s">
        <v>217</v>
      </c>
      <c r="B5" s="8" t="s">
        <v>218</v>
      </c>
      <c r="C5" s="9"/>
      <c r="D5" s="8"/>
      <c r="E5" s="8"/>
      <c r="F5" s="8"/>
      <c r="G5" s="8"/>
      <c r="H5" s="8"/>
      <c r="I5" s="10"/>
      <c r="J5" s="9"/>
    </row>
    <row r="6">
      <c r="A6" s="8" t="s">
        <v>219</v>
      </c>
      <c r="B6" s="8" t="s">
        <v>218</v>
      </c>
      <c r="C6" s="9"/>
      <c r="D6" s="8"/>
      <c r="E6" s="8"/>
      <c r="F6" s="8"/>
      <c r="G6" s="8"/>
      <c r="H6" s="8"/>
      <c r="I6" s="10"/>
      <c r="J6" s="9"/>
    </row>
    <row r="7">
      <c r="A7" s="8" t="s">
        <v>220</v>
      </c>
      <c r="B7" s="8" t="s">
        <v>218</v>
      </c>
      <c r="C7" s="9"/>
      <c r="D7" s="8"/>
      <c r="E7" s="8"/>
      <c r="F7" s="8"/>
      <c r="G7" s="8"/>
      <c r="H7" s="8"/>
      <c r="I7" s="10"/>
      <c r="J7" s="9"/>
    </row>
    <row r="8">
      <c r="A8" s="8" t="s">
        <v>221</v>
      </c>
      <c r="B8" s="8" t="s">
        <v>218</v>
      </c>
      <c r="C8" s="9"/>
      <c r="D8" s="8"/>
      <c r="E8" s="8"/>
      <c r="F8" s="8"/>
      <c r="G8" s="8"/>
      <c r="H8" s="8"/>
      <c r="I8" s="10"/>
      <c r="J8" s="9"/>
    </row>
    <row r="9">
      <c r="A9" s="8" t="s">
        <v>222</v>
      </c>
      <c r="B9" s="8" t="s">
        <v>218</v>
      </c>
      <c r="C9" s="9"/>
      <c r="D9" s="8"/>
      <c r="E9" s="8"/>
      <c r="F9" s="8"/>
      <c r="G9" s="8"/>
      <c r="H9" s="8"/>
      <c r="I9" s="10"/>
      <c r="J9" s="9"/>
    </row>
    <row r="10">
      <c r="A10" s="8" t="s">
        <v>223</v>
      </c>
      <c r="B10" s="8" t="s">
        <v>218</v>
      </c>
      <c r="C10" s="9"/>
      <c r="D10" s="8"/>
      <c r="E10" s="8"/>
      <c r="F10" s="8"/>
      <c r="G10" s="8"/>
      <c r="H10" s="8"/>
      <c r="I10" s="10"/>
      <c r="J10" s="9"/>
    </row>
    <row r="11">
      <c r="A11" s="8" t="s">
        <v>224</v>
      </c>
      <c r="B11" s="8" t="s">
        <v>218</v>
      </c>
      <c r="C11" s="9"/>
      <c r="D11" s="8"/>
      <c r="E11" s="8"/>
      <c r="F11" s="8"/>
      <c r="G11" s="8"/>
      <c r="H11" s="8"/>
      <c r="I11" s="10"/>
      <c r="J11" s="9"/>
    </row>
    <row r="12">
      <c r="A12" s="8" t="s">
        <v>225</v>
      </c>
      <c r="B12" s="8" t="s">
        <v>218</v>
      </c>
      <c r="C12" s="9"/>
      <c r="D12" s="8"/>
      <c r="E12" s="8"/>
      <c r="F12" s="8"/>
      <c r="G12" s="8"/>
      <c r="H12" s="8"/>
      <c r="I12" s="10"/>
      <c r="J12" s="9"/>
    </row>
    <row r="13">
      <c r="A13" s="8" t="s">
        <v>226</v>
      </c>
      <c r="B13" s="8" t="s">
        <v>218</v>
      </c>
      <c r="C13" s="9"/>
      <c r="D13" s="8"/>
      <c r="E13" s="8"/>
      <c r="F13" s="8"/>
      <c r="G13" s="8"/>
      <c r="H13" s="8"/>
      <c r="I13" s="10"/>
      <c r="J13" s="9"/>
    </row>
    <row r="14">
      <c r="A14" s="8" t="s">
        <v>227</v>
      </c>
      <c r="B14" s="8" t="s">
        <v>218</v>
      </c>
      <c r="C14" s="9"/>
      <c r="D14" s="8"/>
      <c r="E14" s="8"/>
      <c r="F14" s="8"/>
      <c r="G14" s="8"/>
      <c r="H14" s="8"/>
      <c r="I14" s="10"/>
      <c r="J14" s="9"/>
    </row>
    <row r="15">
      <c r="A15" s="8" t="s">
        <v>228</v>
      </c>
      <c r="B15" s="8" t="s">
        <v>218</v>
      </c>
      <c r="C15" s="9"/>
      <c r="D15" s="8"/>
      <c r="E15" s="8"/>
      <c r="F15" s="8"/>
      <c r="G15" s="8"/>
      <c r="H15" s="8"/>
      <c r="I15" s="10"/>
      <c r="J15" s="9"/>
    </row>
    <row r="16">
      <c r="A16" s="8" t="s">
        <v>229</v>
      </c>
      <c r="B16" s="8" t="s">
        <v>218</v>
      </c>
      <c r="C16" s="9"/>
      <c r="D16" s="8"/>
      <c r="E16" s="8"/>
      <c r="F16" s="8"/>
      <c r="G16" s="8"/>
      <c r="H16" s="8"/>
      <c r="I16" s="10"/>
      <c r="J16" s="9"/>
    </row>
    <row r="17">
      <c r="A17" s="8" t="s">
        <v>230</v>
      </c>
      <c r="B17" s="8" t="s">
        <v>218</v>
      </c>
      <c r="C17" s="9"/>
      <c r="D17" s="8"/>
      <c r="E17" s="8"/>
      <c r="F17" s="8"/>
      <c r="G17" s="8"/>
      <c r="H17" s="8"/>
      <c r="I17" s="10"/>
      <c r="J17" s="9"/>
    </row>
    <row r="18">
      <c r="A18" s="8" t="s">
        <v>231</v>
      </c>
      <c r="B18" s="8" t="s">
        <v>218</v>
      </c>
      <c r="C18" s="9"/>
      <c r="D18" s="8"/>
      <c r="E18" s="8"/>
      <c r="F18" s="8"/>
      <c r="G18" s="8"/>
      <c r="H18" s="8"/>
      <c r="I18" s="10"/>
      <c r="J18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dataValidations>
    <dataValidation type="list" allowBlank="1" sqref="J5:J18">
      <formula1>"Yes,No,WIP"</formula1>
    </dataValidation>
    <dataValidation type="list" allowBlank="1" sqref="H5:H18">
      <formula1>"Matches,Fragmented,Missing,Needs variant,Needs new component,Deprecated"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36.0"/>
    <col customWidth="1" min="3" max="3" width="26.0"/>
    <col customWidth="1" min="4" max="4" width="60.0"/>
    <col customWidth="1" min="5" max="26" width="8.71"/>
  </cols>
  <sheetData>
    <row r="1">
      <c r="A1" s="11" t="s">
        <v>232</v>
      </c>
    </row>
    <row r="2" ht="30.0" customHeight="1">
      <c r="A2" s="12" t="s">
        <v>233</v>
      </c>
    </row>
    <row r="4" ht="21.75" customHeight="1">
      <c r="A4" s="7" t="s">
        <v>234</v>
      </c>
      <c r="B4" s="7" t="s">
        <v>17</v>
      </c>
      <c r="C4" s="7" t="s">
        <v>235</v>
      </c>
      <c r="D4" s="7" t="s">
        <v>236</v>
      </c>
    </row>
    <row r="5">
      <c r="A5" s="9">
        <v>1.0</v>
      </c>
      <c r="B5" s="8" t="s">
        <v>237</v>
      </c>
      <c r="C5" s="8" t="s">
        <v>238</v>
      </c>
      <c r="D5" s="10"/>
    </row>
    <row r="6">
      <c r="A6" s="9">
        <v>2.0</v>
      </c>
      <c r="B6" s="8" t="s">
        <v>239</v>
      </c>
      <c r="C6" s="8" t="s">
        <v>238</v>
      </c>
      <c r="D6" s="10"/>
    </row>
    <row r="7">
      <c r="A7" s="9">
        <v>3.0</v>
      </c>
      <c r="B7" s="8" t="s">
        <v>240</v>
      </c>
      <c r="C7" s="8" t="s">
        <v>238</v>
      </c>
      <c r="D7" s="10"/>
    </row>
    <row r="8">
      <c r="A8" s="9">
        <v>4.0</v>
      </c>
      <c r="B8" s="8" t="s">
        <v>241</v>
      </c>
      <c r="C8" s="8" t="s">
        <v>238</v>
      </c>
      <c r="D8" s="10"/>
    </row>
    <row r="9">
      <c r="A9" s="9">
        <v>5.0</v>
      </c>
      <c r="B9" s="8" t="s">
        <v>242</v>
      </c>
      <c r="C9" s="8" t="s">
        <v>238</v>
      </c>
      <c r="D9" s="10"/>
    </row>
    <row r="10">
      <c r="A10" s="9">
        <v>6.0</v>
      </c>
      <c r="B10" s="8" t="s">
        <v>243</v>
      </c>
      <c r="C10" s="8" t="s">
        <v>238</v>
      </c>
      <c r="D10" s="10"/>
    </row>
    <row r="11">
      <c r="A11" s="9">
        <v>7.0</v>
      </c>
      <c r="B11" s="8" t="s">
        <v>244</v>
      </c>
      <c r="C11" s="8" t="s">
        <v>238</v>
      </c>
      <c r="D11" s="10"/>
    </row>
    <row r="12">
      <c r="A12" s="9">
        <v>8.0</v>
      </c>
      <c r="B12" s="8" t="s">
        <v>245</v>
      </c>
      <c r="C12" s="8" t="s">
        <v>238</v>
      </c>
      <c r="D12" s="10"/>
    </row>
    <row r="13">
      <c r="A13" s="9">
        <v>9.0</v>
      </c>
      <c r="B13" s="8" t="s">
        <v>246</v>
      </c>
      <c r="C13" s="8" t="s">
        <v>238</v>
      </c>
      <c r="D13" s="10"/>
    </row>
    <row r="14">
      <c r="A14" s="9">
        <v>10.0</v>
      </c>
      <c r="B14" s="8" t="s">
        <v>247</v>
      </c>
      <c r="C14" s="8" t="s">
        <v>238</v>
      </c>
      <c r="D14" s="10"/>
    </row>
    <row r="15">
      <c r="A15" s="9">
        <v>11.0</v>
      </c>
      <c r="B15" s="8" t="s">
        <v>248</v>
      </c>
      <c r="C15" s="8" t="s">
        <v>238</v>
      </c>
      <c r="D15" s="10"/>
    </row>
    <row r="17">
      <c r="B17" s="13" t="s">
        <v>249</v>
      </c>
      <c r="C17" s="14">
        <f>COUNTA(B5:B15)</f>
        <v>11</v>
      </c>
    </row>
    <row r="18">
      <c r="B18" s="13" t="s">
        <v>250</v>
      </c>
      <c r="C18" s="14">
        <v>2.0</v>
      </c>
    </row>
    <row r="19">
      <c r="B19" s="13" t="s">
        <v>251</v>
      </c>
      <c r="C19" s="15">
        <f>C17/C18</f>
        <v>5.5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