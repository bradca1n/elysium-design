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toms" sheetId="2" state="visible" r:id="rId4"/>
    <sheet name="Molecules" sheetId="3" state="visible" r:id="rId5"/>
    <sheet name="Tables" sheetId="4" state="visible" r:id="rId6"/>
    <sheet name="Organisms" sheetId="5" state="visible" r:id="rId7"/>
    <sheet name="Pages" sheetId="6" state="visible" r:id="rId8"/>
    <sheet name="KPI Fragment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<sst xmlns="http://schemas.openxmlformats.org/spreadsheetml/2006/main" count="504" uniqueCount="253">
  <si>
    <t xml:space="preserve">Manager OS NAV — Component Inventory</t>
  </si>
  <si>
    <t xml:space="preserve">Generated from component-inventory.md (source: manager-os-nav-bundle.html, 7280 lines)</t>
  </si>
  <si>
    <t xml:space="preserve">Purpose</t>
  </si>
  <si>
    <t xml:space="preserve">Single source of truth mapping mockup components → Storybook codebase components → Figma components.</t>
  </si>
  <si>
    <t xml:space="preserve">Source file</t>
  </si>
  <si>
    <t xml:space="preserve">manager-os-nav-bundle.html (JSX-style React mock)</t>
  </si>
  <si>
    <t xml:space="preserve">Sheets</t>
  </si>
  <si>
    <t xml:space="preserve">Atoms, Molecules, Tables, Organisms, Pages, KPI Fragmentation</t>
  </si>
  <si>
    <t xml:space="preserve">Column meaning</t>
  </si>
  <si>
    <t xml:space="preserve">Section</t>
  </si>
  <si>
    <t xml:space="preserve">Page or area of the app the element belongs to.</t>
  </si>
  <si>
    <t xml:space="preserve">Element</t>
  </si>
  <si>
    <t xml:space="preserve">Component name as it appears in the mockup.</t>
  </si>
  <si>
    <t xml:space="preserve">Type</t>
  </si>
  <si>
    <t xml:space="preserve">Atom / Molecule / Organism / Template / Page.</t>
  </si>
  <si>
    <t xml:space="preserve">Source line</t>
  </si>
  <si>
    <t xml:space="preserve">Line in manager-os-nav-bundle.html for cross-checking.</t>
  </si>
  <si>
    <t xml:space="preserve">Codebase component</t>
  </si>
  <si>
    <t xml:space="preserve">Corresponding component in Elysium/packages/app/components/ (fill in).</t>
  </si>
  <si>
    <t xml:space="preserve">Codebase path</t>
  </si>
  <si>
    <t xml:space="preserve">Path relative to the repo root (fill in).</t>
  </si>
  <si>
    <t xml:space="preserve">Figma component</t>
  </si>
  <si>
    <t xml:space="preserve">Matching component in the Figma design system (fill in).</t>
  </si>
  <si>
    <t xml:space="preserve">Figma variants</t>
  </si>
  <si>
    <t xml:space="preserve">Variants used / required (fill in).</t>
  </si>
  <si>
    <t xml:space="preserve">Consolidation status</t>
  </si>
  <si>
    <t xml:space="preserve">Matches / Fragmented / Missing / Needs variant / Needs new component / Deprecated.</t>
  </si>
  <si>
    <t xml:space="preserve">Comments</t>
  </si>
  <si>
    <t xml:space="preserve">Purpose pulled from the markdown plus any notes.</t>
  </si>
  <si>
    <t xml:space="preserve">Ready for prod</t>
  </si>
  <si>
    <t xml:space="preserve">Yes / No / WIP.</t>
  </si>
  <si>
    <t xml:space="preserve">Key observation</t>
  </si>
  <si>
    <t xml:space="preserve">Mockup has 2 KPI primitives (Kpi, KpiCard); codebase has 11 KPI molecules. See the KPI Fragmentation sheet.</t>
  </si>
  <si>
    <t xml:space="preserve">Atoms</t>
  </si>
  <si>
    <t xml:space="preserve">Small, single-purpose primitives.</t>
  </si>
  <si>
    <t xml:space="preserve">Icon</t>
  </si>
  <si>
    <t xml:space="preserve">Atom</t>
  </si>
  <si>
    <t xml:space="preserve">Icon set (multiple glyphs)</t>
  </si>
  <si>
    <t xml:space="preserve">TargetChip</t>
  </si>
  <si>
    <t xml:space="preserve">Status chip with tone</t>
  </si>
  <si>
    <t xml:space="preserve">Avatar</t>
  </si>
  <si>
    <t xml:space="preserve">User avatar with initials/icon + unread dot</t>
  </si>
  <si>
    <t xml:space="preserve">TabChip</t>
  </si>
  <si>
    <t xml:space="preserve">Chip-style tab</t>
  </si>
  <si>
    <t xml:space="preserve">AttrMarker</t>
  </si>
  <si>
    <t xml:space="preserve">Attribution marker</t>
  </si>
  <si>
    <t xml:space="preserve">StatusChip</t>
  </si>
  <si>
    <t xml:space="preserve">Generic status pill</t>
  </si>
  <si>
    <t xml:space="preserve">StatusChipX</t>
  </si>
  <si>
    <t xml:space="preserve">Order book status variant</t>
  </si>
  <si>
    <t xml:space="preserve">OrderTypeTag</t>
  </si>
  <si>
    <t xml:space="preserve">Order type label</t>
  </si>
  <si>
    <t xml:space="preserve">PageKebab</t>
  </si>
  <si>
    <t xml:space="preserve">Overflow / kebab button</t>
  </si>
  <si>
    <t xml:space="preserve">SegToggle</t>
  </si>
  <si>
    <t xml:space="preserve">Segmented control</t>
  </si>
  <si>
    <t xml:space="preserve">ThemeSegment</t>
  </si>
  <si>
    <t xml:space="preserve">Theme switcher</t>
  </si>
  <si>
    <t xml:space="preserve">Toggle</t>
  </si>
  <si>
    <t xml:space="preserve">Switch</t>
  </si>
  <si>
    <t xml:space="preserve">MarginBar</t>
  </si>
  <si>
    <t xml:space="preserve">Margin / progress bar</t>
  </si>
  <si>
    <t xml:space="preserve">LockupChip</t>
  </si>
  <si>
    <t xml:space="preserve">Lockup period chip</t>
  </si>
  <si>
    <t xml:space="preserve">KycChip</t>
  </si>
  <si>
    <t xml:space="preserve">KYC status chip</t>
  </si>
  <si>
    <t xml:space="preserve">ClassStatusChip</t>
  </si>
  <si>
    <t xml:space="preserve">Share class status</t>
  </si>
  <si>
    <t xml:space="preserve">PageBtn</t>
  </si>
  <si>
    <t xml:space="preserve">Pagination button</t>
  </si>
  <si>
    <t xml:space="preserve">StatusBadge</t>
  </si>
  <si>
    <t xml:space="preserve">Status badge</t>
  </si>
  <si>
    <t xml:space="preserve">BellSnoozeIcon</t>
  </si>
  <si>
    <t xml:space="preserve">Bell w/ snooze indicator</t>
  </si>
  <si>
    <t xml:space="preserve">InvestorStatusPill</t>
  </si>
  <si>
    <t xml:space="preserve">Investor status</t>
  </si>
  <si>
    <t xml:space="preserve">KycBadge</t>
  </si>
  <si>
    <t xml:space="preserve">KYC badge</t>
  </si>
  <si>
    <t xml:space="preserve">LockupBadge</t>
  </si>
  <si>
    <t xml:space="preserve">Lockup badge</t>
  </si>
  <si>
    <t xml:space="preserve">EntityIcon</t>
  </si>
  <si>
    <t xml:space="preserve">Entity-type icon</t>
  </si>
  <si>
    <t xml:space="preserve">InputSuffix / InputPrefix</t>
  </si>
  <si>
    <t xml:space="preserve">3734 / 3740</t>
  </si>
  <si>
    <t xml:space="preserve">Input adornments</t>
  </si>
  <si>
    <t xml:space="preserve">SubTitle</t>
  </si>
  <si>
    <t xml:space="preserve">Section subtitle</t>
  </si>
  <si>
    <t xml:space="preserve">DurationLegendRow</t>
  </si>
  <si>
    <t xml:space="preserve">Chart legend row</t>
  </si>
  <si>
    <t xml:space="preserve">Molecules</t>
  </si>
  <si>
    <t xml:space="preserve">Composed functional units (2+ atoms working together).</t>
  </si>
  <si>
    <t xml:space="preserve">Kpi</t>
  </si>
  <si>
    <t xml:space="preserve">Molecule</t>
  </si>
  <si>
    <t xml:space="preserve">KPI value + label + delta (inline strip)</t>
  </si>
  <si>
    <t xml:space="preserve">KpiCard</t>
  </si>
  <si>
    <t xml:space="preserve">KPI tile (card variant)</t>
  </si>
  <si>
    <t xml:space="preserve">SectionHead</t>
  </si>
  <si>
    <t xml:space="preserve">Section title + desc + CTA + right slot</t>
  </si>
  <si>
    <t xml:space="preserve">SectionHeadE</t>
  </si>
  <si>
    <t xml:space="preserve">Economics section head variant</t>
  </si>
  <si>
    <t xml:space="preserve">BSSectionHead</t>
  </si>
  <si>
    <t xml:space="preserve">Balance sheet section head</t>
  </si>
  <si>
    <t xml:space="preserve">SubCard</t>
  </si>
  <si>
    <t xml:space="preserve">Sub-card with amount / pct / action</t>
  </si>
  <si>
    <t xml:space="preserve">FilterBar</t>
  </si>
  <si>
    <t xml:space="preserve">Filter row (range + chips)</t>
  </si>
  <si>
    <t xml:space="preserve">FloatingField</t>
  </si>
  <si>
    <t xml:space="preserve">Labeled input w/ prefix / suffix / options</t>
  </si>
  <si>
    <t xml:space="preserve">NextDealingCountdown</t>
  </si>
  <si>
    <t xml:space="preserve">Countdown display</t>
  </si>
  <si>
    <t xml:space="preserve">NotifRow</t>
  </si>
  <si>
    <t xml:space="preserve">Notification list row</t>
  </si>
  <si>
    <t xml:space="preserve">NavItem</t>
  </si>
  <si>
    <t xml:space="preserve">Sidebar nav item</t>
  </si>
  <si>
    <t xml:space="preserve">ExpandableItem</t>
  </si>
  <si>
    <t xml:space="preserve">Sidebar expandable group</t>
  </si>
  <si>
    <t xml:space="preserve">RiskCard</t>
  </si>
  <si>
    <t xml:space="preserve">Risk metric + peer comparison</t>
  </si>
  <si>
    <t xml:space="preserve">ClassCard</t>
  </si>
  <si>
    <t xml:space="preserve">Share class summary card</t>
  </si>
  <si>
    <t xml:space="preserve">BSRow</t>
  </si>
  <si>
    <t xml:space="preserve">Balance sheet line row</t>
  </si>
  <si>
    <t xml:space="preserve">BSSection</t>
  </si>
  <si>
    <t xml:space="preserve">Balance sheet sub-section</t>
  </si>
  <si>
    <t xml:space="preserve">NotesBlock</t>
  </si>
  <si>
    <t xml:space="preserve">Notes / details block</t>
  </si>
  <si>
    <t xml:space="preserve">VenuePicker</t>
  </si>
  <si>
    <t xml:space="preserve">Venue selector</t>
  </si>
  <si>
    <t xml:space="preserve">StatusGroup</t>
  </si>
  <si>
    <t xml:space="preserve">Status item group</t>
  </si>
  <si>
    <t xml:space="preserve">StatusPanel</t>
  </si>
  <si>
    <t xml:space="preserve">Capacity / status overview</t>
  </si>
  <si>
    <t xml:space="preserve">RiskCheckList</t>
  </si>
  <si>
    <t xml:space="preserve">Risk checklist</t>
  </si>
  <si>
    <t xml:space="preserve">HoldingBars</t>
  </si>
  <si>
    <t xml:space="preserve">Horizontal holdings bars</t>
  </si>
  <si>
    <t xml:space="preserve">FeeBars</t>
  </si>
  <si>
    <t xml:space="preserve">Fee comparison bars</t>
  </si>
  <si>
    <t xml:space="preserve">ConcentrationPie</t>
  </si>
  <si>
    <t xml:space="preserve">Concentration pie</t>
  </si>
  <si>
    <t xml:space="preserve">DurationDonut</t>
  </si>
  <si>
    <t xml:space="preserve">Duration donut</t>
  </si>
  <si>
    <t xml:space="preserve">Donut</t>
  </si>
  <si>
    <t xml:space="preserve">Generic donut</t>
  </si>
  <si>
    <t xml:space="preserve">DonutChart</t>
  </si>
  <si>
    <t xml:space="preserve">Interactive donut (hover)</t>
  </si>
  <si>
    <t xml:space="preserve">NavChart</t>
  </si>
  <si>
    <t xml:space="preserve">NAV trend line</t>
  </si>
  <si>
    <t xml:space="preserve">PerformanceChart</t>
  </si>
  <si>
    <t xml:space="preserve">Performance line w/ range</t>
  </si>
  <si>
    <t xml:space="preserve">SpotRow</t>
  </si>
  <si>
    <t xml:space="preserve">Spot positions table row</t>
  </si>
  <si>
    <t xml:space="preserve">DerivativeRow</t>
  </si>
  <si>
    <t xml:space="preserve">Derivatives table row</t>
  </si>
  <si>
    <t xml:space="preserve">Tables</t>
  </si>
  <si>
    <t xml:space="preserve">16+ distinct tables across the app.</t>
  </si>
  <si>
    <t xml:space="preserve">Order Book</t>
  </si>
  <si>
    <t xml:space="preserve">Table 1 — Order book entries</t>
  </si>
  <si>
    <t xml:space="preserve">Order book entries</t>
  </si>
  <si>
    <t xml:space="preserve">Collateral / Treasury</t>
  </si>
  <si>
    <t xml:space="preserve">Table 2 — Spot positions</t>
  </si>
  <si>
    <t xml:space="preserve">Spot positions</t>
  </si>
  <si>
    <t xml:space="preserve">Table 3 — Derivatives positions</t>
  </si>
  <si>
    <t xml:space="preserve">Derivatives positions</t>
  </si>
  <si>
    <t xml:space="preserve">Share Register</t>
  </si>
  <si>
    <t xml:space="preserve">Table 4 — Investor share register</t>
  </si>
  <si>
    <t xml:space="preserve">Investor share register</t>
  </si>
  <si>
    <t xml:space="preserve">Table 5 — Share classes</t>
  </si>
  <si>
    <t xml:space="preserve">Share classes</t>
  </si>
  <si>
    <t xml:space="preserve">Reconciliation</t>
  </si>
  <si>
    <t xml:space="preserve">Table 6 — Reconciliation log</t>
  </si>
  <si>
    <t xml:space="preserve">Reconciliation log</t>
  </si>
  <si>
    <t xml:space="preserve">P&amp;L</t>
  </si>
  <si>
    <t xml:space="preserve">Table 7 — P&amp;L by strategy</t>
  </si>
  <si>
    <t xml:space="preserve">P&amp;L by strategy</t>
  </si>
  <si>
    <t xml:space="preserve">Table 8 — P&amp;L by asset</t>
  </si>
  <si>
    <t xml:space="preserve">P&amp;L by asset</t>
  </si>
  <si>
    <t xml:space="preserve">Table 9 — Fees &amp; expenses</t>
  </si>
  <si>
    <t xml:space="preserve">Fees &amp; expenses</t>
  </si>
  <si>
    <t xml:space="preserve">Economics</t>
  </si>
  <si>
    <t xml:space="preserve">Table 10 — Fees earned</t>
  </si>
  <si>
    <t xml:space="preserve">Fees earned</t>
  </si>
  <si>
    <t xml:space="preserve">Table 11 — Fees earned sub-table</t>
  </si>
  <si>
    <t xml:space="preserve">Fees earned sub-table</t>
  </si>
  <si>
    <t xml:space="preserve">Table 12 — Expenses paid</t>
  </si>
  <si>
    <t xml:space="preserve">Expenses paid</t>
  </si>
  <si>
    <t xml:space="preserve">Overview</t>
  </si>
  <si>
    <t xml:space="preserve">Table 13 — Recent activity</t>
  </si>
  <si>
    <t xml:space="preserve">Recent activity</t>
  </si>
  <si>
    <t xml:space="preserve">Home</t>
  </si>
  <si>
    <t xml:space="preserve">Table 14 — Home table (needs context check)</t>
  </si>
  <si>
    <t xml:space="preserve">Home table (needs context check)</t>
  </si>
  <si>
    <t xml:space="preserve">Investors</t>
  </si>
  <si>
    <t xml:space="preserve">Table 15 — Investors list</t>
  </si>
  <si>
    <t xml:space="preserve">Investors list</t>
  </si>
  <si>
    <t xml:space="preserve">Investor Profile</t>
  </si>
  <si>
    <t xml:space="preserve">Table 16 — Investor profile table A</t>
  </si>
  <si>
    <t xml:space="preserve">Investor profile table A</t>
  </si>
  <si>
    <t xml:space="preserve">Table 17 — Investor profile table B</t>
  </si>
  <si>
    <t xml:space="preserve">Investor profile table B</t>
  </si>
  <si>
    <t xml:space="preserve">Organisms / overlays</t>
  </si>
  <si>
    <t xml:space="preserve">Composed sections, multi-molecule (drawers, modals, sheets, full sections).</t>
  </si>
  <si>
    <t xml:space="preserve">Organisms</t>
  </si>
  <si>
    <t xml:space="preserve">Navbar</t>
  </si>
  <si>
    <t xml:space="preserve">Organism</t>
  </si>
  <si>
    <t xml:space="preserve">Sidebar</t>
  </si>
  <si>
    <t xml:space="preserve">FeedbackModal</t>
  </si>
  <si>
    <t xml:space="preserve">SideSheet</t>
  </si>
  <si>
    <t xml:space="preserve">OrderDrawer</t>
  </si>
  <si>
    <t xml:space="preserve">MoveCollateralSheet</t>
  </si>
  <si>
    <t xml:space="preserve">ShareClassSheet</t>
  </si>
  <si>
    <t xml:space="preserve">SnoozeModal</t>
  </si>
  <si>
    <t xml:space="preserve">IncomeStatement</t>
  </si>
  <si>
    <t xml:space="preserve">Attribution</t>
  </si>
  <si>
    <t xml:space="preserve">PerformanceSection</t>
  </si>
  <si>
    <t xml:space="preserve">RisksSection</t>
  </si>
  <si>
    <t xml:space="preserve">Pages</t>
  </si>
  <si>
    <t xml:space="preserve">Top-level views.</t>
  </si>
  <si>
    <t xml:space="preserve">HomeView</t>
  </si>
  <si>
    <t xml:space="preserve">Page</t>
  </si>
  <si>
    <t xml:space="preserve">NavView</t>
  </si>
  <si>
    <t xml:space="preserve">OrderBookView</t>
  </si>
  <si>
    <t xml:space="preserve">CollateralView</t>
  </si>
  <si>
    <t xml:space="preserve">ShareRegisterView</t>
  </si>
  <si>
    <t xml:space="preserve">ShareClassesView</t>
  </si>
  <si>
    <t xml:space="preserve">ReconciliationView</t>
  </si>
  <si>
    <t xml:space="preserve">ProfitLossView</t>
  </si>
  <si>
    <t xml:space="preserve">BalanceSheetView</t>
  </si>
  <si>
    <t xml:space="preserve">EconomicsView</t>
  </si>
  <si>
    <t xml:space="preserve">OverviewView</t>
  </si>
  <si>
    <t xml:space="preserve">ActionsView</t>
  </si>
  <si>
    <t xml:space="preserve">InvestorsView</t>
  </si>
  <si>
    <t xml:space="preserve">InvestorProfileView</t>
  </si>
  <si>
    <t xml:space="preserve">KPI Fragmentation</t>
  </si>
  <si>
    <t xml:space="preserve">Mockup has 2 KPI primitives (Kpi, KpiCard). Codebase has 11 separate KPI molecules. Consolidation target: one component with variants (matching Figma).</t>
  </si>
  <si>
    <t xml:space="preserve">#</t>
  </si>
  <si>
    <t xml:space="preserve">Maps to mockup primitive</t>
  </si>
  <si>
    <t xml:space="preserve">Notes / variant needed</t>
  </si>
  <si>
    <t xml:space="preserve">ShareClassKPIs</t>
  </si>
  <si>
    <t xml:space="preserve">Kpi / KpiCard</t>
  </si>
  <si>
    <t xml:space="preserve">ManagerFundEconomicsKpiStrip</t>
  </si>
  <si>
    <t xml:space="preserve">BalanceSheetKpiStrip</t>
  </si>
  <si>
    <t xml:space="preserve">ManagerKpiStrip</t>
  </si>
  <si>
    <t xml:space="preserve">ShareClassFeesKPIs</t>
  </si>
  <si>
    <t xml:space="preserve">ProfitLossKpiGrid</t>
  </si>
  <si>
    <t xml:space="preserve">ManagerFundNAVKpiHeadline</t>
  </si>
  <si>
    <t xml:space="preserve">ManagerFundOrderBookKpis</t>
  </si>
  <si>
    <t xml:space="preserve">ReconciliationKpiStrip</t>
  </si>
  <si>
    <t xml:space="preserve">BlendedKpiStrip</t>
  </si>
  <si>
    <t xml:space="preserve">UpcomingFlowsKpiTiles</t>
  </si>
  <si>
    <t xml:space="preserve">Total codebase KPI molecules</t>
  </si>
  <si>
    <t xml:space="preserve">Mockup primitives</t>
  </si>
  <si>
    <t xml:space="preserve">Reduction factor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</si>
</sst>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1182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1182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1182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0"/>
  </cols>
  <sheetData>
    <row r="1" customFormat="false" ht="19.7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3" customFormat="false" ht="15" hidden="false" customHeight="false" outlineLevel="0" collapsed="false">
      <c r="A3" s="3"/>
      <c r="B3" s="4"/>
    </row>
    <row r="4" customFormat="false" ht="23.8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/>
      <c r="B7" s="4"/>
    </row>
    <row r="8" customFormat="false" ht="15" hidden="false" customHeight="false" outlineLevel="0" collapsed="false">
      <c r="A8" s="3" t="s">
        <v>8</v>
      </c>
      <c r="B8" s="4"/>
    </row>
    <row r="9" customFormat="false" ht="15" hidden="false" customHeight="false" outlineLevel="0" collapsed="false">
      <c r="A9" s="3" t="s">
        <v>9</v>
      </c>
      <c r="B9" s="4" t="s">
        <v>10</v>
      </c>
    </row>
    <row r="10" customFormat="false" ht="15" hidden="false" customHeight="false" outlineLevel="0" collapsed="false">
      <c r="A10" s="3" t="s">
        <v>11</v>
      </c>
      <c r="B10" s="4" t="s">
        <v>12</v>
      </c>
    </row>
    <row r="11" customFormat="false" ht="15" hidden="false" customHeight="false" outlineLevel="0" collapsed="false">
      <c r="A11" s="3" t="s">
        <v>13</v>
      </c>
      <c r="B11" s="4" t="s">
        <v>14</v>
      </c>
    </row>
    <row r="12" customFormat="false" ht="15" hidden="false" customHeight="false" outlineLevel="0" collapsed="false">
      <c r="A12" s="3" t="s">
        <v>15</v>
      </c>
      <c r="B12" s="4" t="s">
        <v>16</v>
      </c>
    </row>
    <row r="13" customFormat="false" ht="15" hidden="false" customHeight="false" outlineLevel="0" collapsed="false">
      <c r="A13" s="3" t="s">
        <v>17</v>
      </c>
      <c r="B13" s="4" t="s">
        <v>18</v>
      </c>
    </row>
    <row r="14" customFormat="false" ht="15" hidden="false" customHeight="false" outlineLevel="0" collapsed="false">
      <c r="A14" s="3" t="s">
        <v>19</v>
      </c>
      <c r="B14" s="4" t="s">
        <v>20</v>
      </c>
    </row>
    <row r="15" customFormat="false" ht="15" hidden="false" customHeight="false" outlineLevel="0" collapsed="false">
      <c r="A15" s="3" t="s">
        <v>21</v>
      </c>
      <c r="B15" s="4" t="s">
        <v>22</v>
      </c>
    </row>
    <row r="16" customFormat="false" ht="15" hidden="false" customHeight="false" outlineLevel="0" collapsed="false">
      <c r="A16" s="3" t="s">
        <v>23</v>
      </c>
      <c r="B16" s="4" t="s">
        <v>24</v>
      </c>
    </row>
    <row r="17" customFormat="false" ht="15" hidden="false" customHeight="false" outlineLevel="0" collapsed="false">
      <c r="A17" s="3" t="s">
        <v>25</v>
      </c>
      <c r="B17" s="4" t="s">
        <v>26</v>
      </c>
    </row>
    <row r="18" customFormat="false" ht="15" hidden="false" customHeight="false" outlineLevel="0" collapsed="false">
      <c r="A18" s="3" t="s">
        <v>27</v>
      </c>
      <c r="B18" s="4" t="s">
        <v>28</v>
      </c>
    </row>
    <row r="19" customFormat="false" ht="15" hidden="false" customHeight="false" outlineLevel="0" collapsed="false">
      <c r="A19" s="3" t="s">
        <v>29</v>
      </c>
      <c r="B19" s="4" t="s">
        <v>30</v>
      </c>
    </row>
    <row r="20" customFormat="false" ht="15" hidden="false" customHeight="false" outlineLevel="0" collapsed="false">
      <c r="A20" s="3"/>
      <c r="B20" s="4"/>
    </row>
    <row r="21" customFormat="false" ht="23.85" hidden="false" customHeight="false" outlineLevel="0" collapsed="false">
      <c r="A21" s="3" t="s">
        <v>31</v>
      </c>
      <c r="B21" s="4" t="s">
        <v>32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4" min="3" style="0" width="12"/>
    <col collapsed="false" customWidth="true" hidden="false" outlineLevel="0" max="5" min="5" style="0" width="26"/>
    <col collapsed="false" customWidth="true" hidden="false" outlineLevel="0" max="6" min="6" style="0" width="32"/>
    <col collapsed="false" customWidth="true" hidden="false" outlineLevel="0" max="8" min="7" style="0" width="26"/>
    <col collapsed="false" customWidth="true" hidden="false" outlineLevel="0" max="9" min="9" style="0" width="22"/>
    <col collapsed="false" customWidth="true" hidden="false" outlineLevel="0" max="10" min="10" style="0" width="50"/>
    <col collapsed="false" customWidth="true" hidden="false" outlineLevel="0" max="11" min="11" style="0" width="14"/>
  </cols>
  <sheetData>
    <row r="1" customFormat="false" ht="21.75" hidden="false" customHeight="true" outlineLevel="0" collapsed="false">
      <c r="A1" s="5" t="s">
        <v>33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customFormat="false" ht="18" hidden="false" customHeight="true" outlineLevel="0" collapsed="false">
      <c r="A2" s="2" t="s">
        <v>34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1.75" hidden="false" customHeight="true" outlineLevel="0" collapsed="false">
      <c r="A4" s="6" t="s">
        <v>9</v>
      </c>
      <c r="B4" s="6" t="s">
        <v>11</v>
      </c>
      <c r="C4" s="6" t="s">
        <v>13</v>
      </c>
      <c r="D4" s="6" t="s">
        <v>15</v>
      </c>
      <c r="E4" s="6" t="s">
        <v>17</v>
      </c>
      <c r="F4" s="6" t="s">
        <v>19</v>
      </c>
      <c r="G4" s="6" t="s">
        <v>21</v>
      </c>
      <c r="H4" s="6" t="s">
        <v>23</v>
      </c>
      <c r="I4" s="6" t="s">
        <v>25</v>
      </c>
      <c r="J4" s="6" t="s">
        <v>27</v>
      </c>
      <c r="K4" s="6" t="s">
        <v>29</v>
      </c>
    </row>
    <row r="5" customFormat="false" ht="15" hidden="false" customHeight="false" outlineLevel="0" collapsed="false">
      <c r="A5" s="7" t="s">
        <v>33</v>
      </c>
      <c r="B5" s="7" t="s">
        <v>35</v>
      </c>
      <c r="C5" s="7" t="s">
        <v>36</v>
      </c>
      <c r="D5" s="8" t="n">
        <v>630</v>
      </c>
      <c r="E5" s="7"/>
      <c r="F5" s="7"/>
      <c r="G5" s="7"/>
      <c r="H5" s="7"/>
      <c r="I5" s="7"/>
      <c r="J5" s="9" t="s">
        <v>37</v>
      </c>
      <c r="K5" s="8"/>
    </row>
    <row r="6" customFormat="false" ht="15" hidden="false" customHeight="false" outlineLevel="0" collapsed="false">
      <c r="A6" s="7" t="s">
        <v>33</v>
      </c>
      <c r="B6" s="7" t="s">
        <v>38</v>
      </c>
      <c r="C6" s="7" t="s">
        <v>36</v>
      </c>
      <c r="D6" s="8" t="n">
        <v>912</v>
      </c>
      <c r="E6" s="7"/>
      <c r="F6" s="7"/>
      <c r="G6" s="7"/>
      <c r="H6" s="7"/>
      <c r="I6" s="7"/>
      <c r="J6" s="9" t="s">
        <v>39</v>
      </c>
      <c r="K6" s="8"/>
    </row>
    <row r="7" customFormat="false" ht="15" hidden="false" customHeight="false" outlineLevel="0" collapsed="false">
      <c r="A7" s="7" t="s">
        <v>33</v>
      </c>
      <c r="B7" s="7" t="s">
        <v>40</v>
      </c>
      <c r="C7" s="7" t="s">
        <v>36</v>
      </c>
      <c r="D7" s="8" t="n">
        <v>927</v>
      </c>
      <c r="E7" s="7"/>
      <c r="F7" s="7"/>
      <c r="G7" s="7"/>
      <c r="H7" s="7"/>
      <c r="I7" s="7"/>
      <c r="J7" s="9" t="s">
        <v>41</v>
      </c>
      <c r="K7" s="8"/>
    </row>
    <row r="8" customFormat="false" ht="15" hidden="false" customHeight="false" outlineLevel="0" collapsed="false">
      <c r="A8" s="7" t="s">
        <v>33</v>
      </c>
      <c r="B8" s="7" t="s">
        <v>42</v>
      </c>
      <c r="C8" s="7" t="s">
        <v>36</v>
      </c>
      <c r="D8" s="8" t="n">
        <v>1007</v>
      </c>
      <c r="E8" s="7"/>
      <c r="F8" s="7"/>
      <c r="G8" s="7"/>
      <c r="H8" s="7"/>
      <c r="I8" s="7"/>
      <c r="J8" s="9" t="s">
        <v>43</v>
      </c>
      <c r="K8" s="8"/>
    </row>
    <row r="9" customFormat="false" ht="15" hidden="false" customHeight="false" outlineLevel="0" collapsed="false">
      <c r="A9" s="7" t="s">
        <v>33</v>
      </c>
      <c r="B9" s="7" t="s">
        <v>44</v>
      </c>
      <c r="C9" s="7" t="s">
        <v>36</v>
      </c>
      <c r="D9" s="8" t="n">
        <v>1942</v>
      </c>
      <c r="E9" s="7"/>
      <c r="F9" s="7"/>
      <c r="G9" s="7"/>
      <c r="H9" s="7"/>
      <c r="I9" s="7"/>
      <c r="J9" s="9" t="s">
        <v>45</v>
      </c>
      <c r="K9" s="8"/>
    </row>
    <row r="10" customFormat="false" ht="15" hidden="false" customHeight="false" outlineLevel="0" collapsed="false">
      <c r="A10" s="7" t="s">
        <v>33</v>
      </c>
      <c r="B10" s="7" t="s">
        <v>46</v>
      </c>
      <c r="C10" s="7" t="s">
        <v>36</v>
      </c>
      <c r="D10" s="8" t="n">
        <v>1994</v>
      </c>
      <c r="E10" s="7"/>
      <c r="F10" s="7"/>
      <c r="G10" s="7"/>
      <c r="H10" s="7"/>
      <c r="I10" s="7"/>
      <c r="J10" s="9" t="s">
        <v>47</v>
      </c>
      <c r="K10" s="8"/>
    </row>
    <row r="11" customFormat="false" ht="15" hidden="false" customHeight="false" outlineLevel="0" collapsed="false">
      <c r="A11" s="7" t="s">
        <v>33</v>
      </c>
      <c r="B11" s="7" t="s">
        <v>48</v>
      </c>
      <c r="C11" s="7" t="s">
        <v>36</v>
      </c>
      <c r="D11" s="8" t="n">
        <v>2507</v>
      </c>
      <c r="E11" s="7"/>
      <c r="F11" s="7"/>
      <c r="G11" s="7"/>
      <c r="H11" s="7"/>
      <c r="I11" s="7"/>
      <c r="J11" s="9" t="s">
        <v>49</v>
      </c>
      <c r="K11" s="8"/>
    </row>
    <row r="12" customFormat="false" ht="15" hidden="false" customHeight="false" outlineLevel="0" collapsed="false">
      <c r="A12" s="7" t="s">
        <v>33</v>
      </c>
      <c r="B12" s="7" t="s">
        <v>50</v>
      </c>
      <c r="C12" s="7" t="s">
        <v>36</v>
      </c>
      <c r="D12" s="8" t="n">
        <v>2502</v>
      </c>
      <c r="E12" s="7"/>
      <c r="F12" s="7"/>
      <c r="G12" s="7"/>
      <c r="H12" s="7"/>
      <c r="I12" s="7"/>
      <c r="J12" s="9" t="s">
        <v>51</v>
      </c>
      <c r="K12" s="8"/>
    </row>
    <row r="13" customFormat="false" ht="15" hidden="false" customHeight="false" outlineLevel="0" collapsed="false">
      <c r="A13" s="7" t="s">
        <v>33</v>
      </c>
      <c r="B13" s="7" t="s">
        <v>52</v>
      </c>
      <c r="C13" s="7" t="s">
        <v>36</v>
      </c>
      <c r="D13" s="8" t="n">
        <v>1902</v>
      </c>
      <c r="E13" s="7"/>
      <c r="F13" s="7"/>
      <c r="G13" s="7"/>
      <c r="H13" s="7"/>
      <c r="I13" s="7"/>
      <c r="J13" s="9" t="s">
        <v>53</v>
      </c>
      <c r="K13" s="8"/>
    </row>
    <row r="14" customFormat="false" ht="15" hidden="false" customHeight="false" outlineLevel="0" collapsed="false">
      <c r="A14" s="7" t="s">
        <v>33</v>
      </c>
      <c r="B14" s="7" t="s">
        <v>54</v>
      </c>
      <c r="C14" s="7" t="s">
        <v>36</v>
      </c>
      <c r="D14" s="8" t="n">
        <v>1966</v>
      </c>
      <c r="E14" s="7"/>
      <c r="F14" s="7"/>
      <c r="G14" s="7"/>
      <c r="H14" s="7"/>
      <c r="I14" s="7"/>
      <c r="J14" s="9" t="s">
        <v>55</v>
      </c>
      <c r="K14" s="8"/>
    </row>
    <row r="15" customFormat="false" ht="15" hidden="false" customHeight="false" outlineLevel="0" collapsed="false">
      <c r="A15" s="7" t="s">
        <v>33</v>
      </c>
      <c r="B15" s="7" t="s">
        <v>56</v>
      </c>
      <c r="C15" s="7" t="s">
        <v>36</v>
      </c>
      <c r="D15" s="8" t="n">
        <v>1441</v>
      </c>
      <c r="E15" s="7"/>
      <c r="F15" s="7"/>
      <c r="G15" s="7"/>
      <c r="H15" s="7"/>
      <c r="I15" s="7"/>
      <c r="J15" s="9" t="s">
        <v>57</v>
      </c>
      <c r="K15" s="8"/>
    </row>
    <row r="16" customFormat="false" ht="15" hidden="false" customHeight="false" outlineLevel="0" collapsed="false">
      <c r="A16" s="7" t="s">
        <v>33</v>
      </c>
      <c r="B16" s="7" t="s">
        <v>58</v>
      </c>
      <c r="C16" s="7" t="s">
        <v>36</v>
      </c>
      <c r="D16" s="8" t="n">
        <v>3725</v>
      </c>
      <c r="E16" s="7"/>
      <c r="F16" s="7"/>
      <c r="G16" s="7"/>
      <c r="H16" s="7"/>
      <c r="I16" s="7"/>
      <c r="J16" s="9" t="s">
        <v>59</v>
      </c>
      <c r="K16" s="8"/>
    </row>
    <row r="17" customFormat="false" ht="15" hidden="false" customHeight="false" outlineLevel="0" collapsed="false">
      <c r="A17" s="7" t="s">
        <v>33</v>
      </c>
      <c r="B17" s="7" t="s">
        <v>60</v>
      </c>
      <c r="C17" s="7" t="s">
        <v>36</v>
      </c>
      <c r="D17" s="8" t="n">
        <v>1982</v>
      </c>
      <c r="E17" s="7"/>
      <c r="F17" s="7"/>
      <c r="G17" s="7"/>
      <c r="H17" s="7"/>
      <c r="I17" s="7"/>
      <c r="J17" s="9" t="s">
        <v>61</v>
      </c>
      <c r="K17" s="8"/>
    </row>
    <row r="18" customFormat="false" ht="15" hidden="false" customHeight="false" outlineLevel="0" collapsed="false">
      <c r="A18" s="7" t="s">
        <v>33</v>
      </c>
      <c r="B18" s="7" t="s">
        <v>62</v>
      </c>
      <c r="C18" s="7" t="s">
        <v>36</v>
      </c>
      <c r="D18" s="8" t="n">
        <v>3915</v>
      </c>
      <c r="E18" s="7"/>
      <c r="F18" s="7"/>
      <c r="G18" s="7"/>
      <c r="H18" s="7"/>
      <c r="I18" s="7"/>
      <c r="J18" s="9" t="s">
        <v>63</v>
      </c>
      <c r="K18" s="8"/>
    </row>
    <row r="19" customFormat="false" ht="15" hidden="false" customHeight="false" outlineLevel="0" collapsed="false">
      <c r="A19" s="7" t="s">
        <v>33</v>
      </c>
      <c r="B19" s="7" t="s">
        <v>64</v>
      </c>
      <c r="C19" s="7" t="s">
        <v>36</v>
      </c>
      <c r="D19" s="8" t="n">
        <v>3927</v>
      </c>
      <c r="E19" s="7"/>
      <c r="F19" s="7"/>
      <c r="G19" s="7"/>
      <c r="H19" s="7"/>
      <c r="I19" s="7"/>
      <c r="J19" s="9" t="s">
        <v>65</v>
      </c>
      <c r="K19" s="8"/>
    </row>
    <row r="20" customFormat="false" ht="15" hidden="false" customHeight="false" outlineLevel="0" collapsed="false">
      <c r="A20" s="7" t="s">
        <v>33</v>
      </c>
      <c r="B20" s="7" t="s">
        <v>66</v>
      </c>
      <c r="C20" s="7" t="s">
        <v>36</v>
      </c>
      <c r="D20" s="8" t="n">
        <v>3888</v>
      </c>
      <c r="E20" s="7"/>
      <c r="F20" s="7"/>
      <c r="G20" s="7"/>
      <c r="H20" s="7"/>
      <c r="I20" s="7"/>
      <c r="J20" s="9" t="s">
        <v>67</v>
      </c>
      <c r="K20" s="8"/>
    </row>
    <row r="21" customFormat="false" ht="15" hidden="false" customHeight="false" outlineLevel="0" collapsed="false">
      <c r="A21" s="7" t="s">
        <v>33</v>
      </c>
      <c r="B21" s="7" t="s">
        <v>68</v>
      </c>
      <c r="C21" s="7" t="s">
        <v>36</v>
      </c>
      <c r="D21" s="8" t="n">
        <v>3903</v>
      </c>
      <c r="E21" s="7"/>
      <c r="F21" s="7"/>
      <c r="G21" s="7"/>
      <c r="H21" s="7"/>
      <c r="I21" s="7"/>
      <c r="J21" s="9" t="s">
        <v>69</v>
      </c>
      <c r="K21" s="8"/>
    </row>
    <row r="22" customFormat="false" ht="15" hidden="false" customHeight="false" outlineLevel="0" collapsed="false">
      <c r="A22" s="7" t="s">
        <v>33</v>
      </c>
      <c r="B22" s="7" t="s">
        <v>70</v>
      </c>
      <c r="C22" s="7" t="s">
        <v>36</v>
      </c>
      <c r="D22" s="8" t="n">
        <v>5274</v>
      </c>
      <c r="E22" s="7"/>
      <c r="F22" s="7"/>
      <c r="G22" s="7"/>
      <c r="H22" s="7"/>
      <c r="I22" s="7"/>
      <c r="J22" s="9" t="s">
        <v>71</v>
      </c>
      <c r="K22" s="8"/>
    </row>
    <row r="23" customFormat="false" ht="15" hidden="false" customHeight="false" outlineLevel="0" collapsed="false">
      <c r="A23" s="7" t="s">
        <v>33</v>
      </c>
      <c r="B23" s="7" t="s">
        <v>72</v>
      </c>
      <c r="C23" s="7" t="s">
        <v>36</v>
      </c>
      <c r="D23" s="8" t="n">
        <v>5319</v>
      </c>
      <c r="E23" s="7"/>
      <c r="F23" s="7"/>
      <c r="G23" s="7"/>
      <c r="H23" s="7"/>
      <c r="I23" s="7"/>
      <c r="J23" s="9" t="s">
        <v>73</v>
      </c>
      <c r="K23" s="8"/>
    </row>
    <row r="24" customFormat="false" ht="15" hidden="false" customHeight="false" outlineLevel="0" collapsed="false">
      <c r="A24" s="7" t="s">
        <v>33</v>
      </c>
      <c r="B24" s="7" t="s">
        <v>74</v>
      </c>
      <c r="C24" s="7" t="s">
        <v>36</v>
      </c>
      <c r="D24" s="8" t="n">
        <v>5943</v>
      </c>
      <c r="E24" s="7"/>
      <c r="F24" s="7"/>
      <c r="G24" s="7"/>
      <c r="H24" s="7"/>
      <c r="I24" s="7"/>
      <c r="J24" s="9" t="s">
        <v>75</v>
      </c>
      <c r="K24" s="8"/>
    </row>
    <row r="25" customFormat="false" ht="15" hidden="false" customHeight="false" outlineLevel="0" collapsed="false">
      <c r="A25" s="7" t="s">
        <v>33</v>
      </c>
      <c r="B25" s="7" t="s">
        <v>76</v>
      </c>
      <c r="C25" s="7" t="s">
        <v>36</v>
      </c>
      <c r="D25" s="8" t="n">
        <v>5952</v>
      </c>
      <c r="E25" s="7"/>
      <c r="F25" s="7"/>
      <c r="G25" s="7"/>
      <c r="H25" s="7"/>
      <c r="I25" s="7"/>
      <c r="J25" s="9" t="s">
        <v>77</v>
      </c>
      <c r="K25" s="8"/>
    </row>
    <row r="26" customFormat="false" ht="15" hidden="false" customHeight="false" outlineLevel="0" collapsed="false">
      <c r="A26" s="7" t="s">
        <v>33</v>
      </c>
      <c r="B26" s="7" t="s">
        <v>78</v>
      </c>
      <c r="C26" s="7" t="s">
        <v>36</v>
      </c>
      <c r="D26" s="8" t="n">
        <v>5967</v>
      </c>
      <c r="E26" s="7"/>
      <c r="F26" s="7"/>
      <c r="G26" s="7"/>
      <c r="H26" s="7"/>
      <c r="I26" s="7"/>
      <c r="J26" s="9" t="s">
        <v>79</v>
      </c>
      <c r="K26" s="8"/>
    </row>
    <row r="27" customFormat="false" ht="15" hidden="false" customHeight="false" outlineLevel="0" collapsed="false">
      <c r="A27" s="7" t="s">
        <v>33</v>
      </c>
      <c r="B27" s="7" t="s">
        <v>80</v>
      </c>
      <c r="C27" s="7" t="s">
        <v>36</v>
      </c>
      <c r="D27" s="8" t="n">
        <v>4038</v>
      </c>
      <c r="E27" s="7"/>
      <c r="F27" s="7"/>
      <c r="G27" s="7"/>
      <c r="H27" s="7"/>
      <c r="I27" s="7"/>
      <c r="J27" s="9" t="s">
        <v>81</v>
      </c>
      <c r="K27" s="8"/>
    </row>
    <row r="28" customFormat="false" ht="15" hidden="false" customHeight="false" outlineLevel="0" collapsed="false">
      <c r="A28" s="7" t="s">
        <v>33</v>
      </c>
      <c r="B28" s="7" t="s">
        <v>82</v>
      </c>
      <c r="C28" s="7" t="s">
        <v>36</v>
      </c>
      <c r="D28" s="8" t="s">
        <v>83</v>
      </c>
      <c r="E28" s="7"/>
      <c r="F28" s="7"/>
      <c r="G28" s="7"/>
      <c r="H28" s="7"/>
      <c r="I28" s="7"/>
      <c r="J28" s="9" t="s">
        <v>84</v>
      </c>
      <c r="K28" s="8"/>
    </row>
    <row r="29" customFormat="false" ht="15" hidden="false" customHeight="false" outlineLevel="0" collapsed="false">
      <c r="A29" s="7" t="s">
        <v>33</v>
      </c>
      <c r="B29" s="7" t="s">
        <v>85</v>
      </c>
      <c r="C29" s="7" t="s">
        <v>36</v>
      </c>
      <c r="D29" s="8" t="n">
        <v>1932</v>
      </c>
      <c r="E29" s="7"/>
      <c r="F29" s="7"/>
      <c r="G29" s="7"/>
      <c r="H29" s="7"/>
      <c r="I29" s="7"/>
      <c r="J29" s="9" t="s">
        <v>86</v>
      </c>
      <c r="K29" s="8"/>
    </row>
    <row r="30" customFormat="false" ht="15" hidden="false" customHeight="false" outlineLevel="0" collapsed="false">
      <c r="A30" s="7" t="s">
        <v>33</v>
      </c>
      <c r="B30" s="7" t="s">
        <v>87</v>
      </c>
      <c r="C30" s="7" t="s">
        <v>36</v>
      </c>
      <c r="D30" s="8" t="n">
        <v>3957</v>
      </c>
      <c r="E30" s="7"/>
      <c r="F30" s="7"/>
      <c r="G30" s="7"/>
      <c r="H30" s="7"/>
      <c r="I30" s="7"/>
      <c r="J30" s="9" t="s">
        <v>88</v>
      </c>
      <c r="K30" s="8"/>
    </row>
  </sheetData>
  <mergeCells count="2">
    <mergeCell ref="A1:K1"/>
    <mergeCell ref="A2:K2"/>
  </mergeCells>
  <dataValidations count="2">
    <dataValidation allowBlank="true" errorStyle="stop" operator="between" showDropDown="false" showErrorMessage="false" showInputMessage="false" sqref="I5:I30" type="list">
      <formula1>"Matches,Fragmented,Missing,Needs variant,Needs new component,Deprecated"</formula1>
      <formula2>0</formula2>
    </dataValidation>
    <dataValidation allowBlank="true" errorStyle="stop" operator="between" showDropDown="false" showErrorMessage="false" showInputMessage="false" sqref="K5:K30" type="list">
      <formula1>"Yes,No,WIP"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4" min="3" style="0" width="12"/>
    <col collapsed="false" customWidth="true" hidden="false" outlineLevel="0" max="5" min="5" style="0" width="26"/>
    <col collapsed="false" customWidth="true" hidden="false" outlineLevel="0" max="6" min="6" style="0" width="32"/>
    <col collapsed="false" customWidth="true" hidden="false" outlineLevel="0" max="8" min="7" style="0" width="26"/>
    <col collapsed="false" customWidth="true" hidden="false" outlineLevel="0" max="9" min="9" style="0" width="22"/>
    <col collapsed="false" customWidth="true" hidden="false" outlineLevel="0" max="10" min="10" style="0" width="50"/>
    <col collapsed="false" customWidth="true" hidden="false" outlineLevel="0" max="11" min="11" style="0" width="14"/>
  </cols>
  <sheetData>
    <row r="1" customFormat="false" ht="21.75" hidden="false" customHeight="true" outlineLevel="0" collapsed="false">
      <c r="A1" s="5" t="s">
        <v>89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customFormat="false" ht="18" hidden="false" customHeight="true" outlineLevel="0" collapsed="false">
      <c r="A2" s="2" t="s">
        <v>90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1.75" hidden="false" customHeight="true" outlineLevel="0" collapsed="false">
      <c r="A4" s="6" t="s">
        <v>9</v>
      </c>
      <c r="B4" s="6" t="s">
        <v>11</v>
      </c>
      <c r="C4" s="6" t="s">
        <v>13</v>
      </c>
      <c r="D4" s="6" t="s">
        <v>15</v>
      </c>
      <c r="E4" s="6" t="s">
        <v>17</v>
      </c>
      <c r="F4" s="6" t="s">
        <v>19</v>
      </c>
      <c r="G4" s="6" t="s">
        <v>21</v>
      </c>
      <c r="H4" s="6" t="s">
        <v>23</v>
      </c>
      <c r="I4" s="6" t="s">
        <v>25</v>
      </c>
      <c r="J4" s="6" t="s">
        <v>27</v>
      </c>
      <c r="K4" s="6" t="s">
        <v>29</v>
      </c>
    </row>
    <row r="5" customFormat="false" ht="15" hidden="false" customHeight="false" outlineLevel="0" collapsed="false">
      <c r="A5" s="7" t="s">
        <v>89</v>
      </c>
      <c r="B5" s="7" t="s">
        <v>91</v>
      </c>
      <c r="C5" s="7" t="s">
        <v>92</v>
      </c>
      <c r="D5" s="8" t="n">
        <v>1888</v>
      </c>
      <c r="E5" s="7"/>
      <c r="F5" s="7"/>
      <c r="G5" s="7"/>
      <c r="H5" s="7"/>
      <c r="I5" s="7"/>
      <c r="J5" s="9" t="s">
        <v>93</v>
      </c>
      <c r="K5" s="8"/>
    </row>
    <row r="6" customFormat="false" ht="15" hidden="false" customHeight="false" outlineLevel="0" collapsed="false">
      <c r="A6" s="7" t="s">
        <v>89</v>
      </c>
      <c r="B6" s="7" t="s">
        <v>94</v>
      </c>
      <c r="C6" s="7" t="s">
        <v>92</v>
      </c>
      <c r="D6" s="8" t="n">
        <v>4897</v>
      </c>
      <c r="E6" s="7"/>
      <c r="F6" s="7"/>
      <c r="G6" s="7"/>
      <c r="H6" s="7"/>
      <c r="I6" s="7"/>
      <c r="J6" s="9" t="s">
        <v>95</v>
      </c>
      <c r="K6" s="8"/>
    </row>
    <row r="7" customFormat="false" ht="15" hidden="false" customHeight="false" outlineLevel="0" collapsed="false">
      <c r="A7" s="7" t="s">
        <v>89</v>
      </c>
      <c r="B7" s="7" t="s">
        <v>96</v>
      </c>
      <c r="C7" s="7" t="s">
        <v>92</v>
      </c>
      <c r="D7" s="8" t="n">
        <v>1910</v>
      </c>
      <c r="E7" s="7"/>
      <c r="F7" s="7"/>
      <c r="G7" s="7"/>
      <c r="H7" s="7"/>
      <c r="I7" s="7"/>
      <c r="J7" s="9" t="s">
        <v>97</v>
      </c>
      <c r="K7" s="8"/>
    </row>
    <row r="8" customFormat="false" ht="15" hidden="false" customHeight="false" outlineLevel="0" collapsed="false">
      <c r="A8" s="7" t="s">
        <v>89</v>
      </c>
      <c r="B8" s="7" t="s">
        <v>98</v>
      </c>
      <c r="C8" s="7" t="s">
        <v>92</v>
      </c>
      <c r="D8" s="8" t="n">
        <v>4910</v>
      </c>
      <c r="E8" s="7"/>
      <c r="F8" s="7"/>
      <c r="G8" s="7"/>
      <c r="H8" s="7"/>
      <c r="I8" s="7"/>
      <c r="J8" s="9" t="s">
        <v>99</v>
      </c>
      <c r="K8" s="8"/>
    </row>
    <row r="9" customFormat="false" ht="15" hidden="false" customHeight="false" outlineLevel="0" collapsed="false">
      <c r="A9" s="7" t="s">
        <v>89</v>
      </c>
      <c r="B9" s="7" t="s">
        <v>100</v>
      </c>
      <c r="C9" s="7" t="s">
        <v>92</v>
      </c>
      <c r="D9" s="8" t="n">
        <v>4635</v>
      </c>
      <c r="E9" s="7"/>
      <c r="F9" s="7"/>
      <c r="G9" s="7"/>
      <c r="H9" s="7"/>
      <c r="I9" s="7"/>
      <c r="J9" s="9" t="s">
        <v>101</v>
      </c>
      <c r="K9" s="8"/>
    </row>
    <row r="10" customFormat="false" ht="15" hidden="false" customHeight="false" outlineLevel="0" collapsed="false">
      <c r="A10" s="7" t="s">
        <v>89</v>
      </c>
      <c r="B10" s="7" t="s">
        <v>102</v>
      </c>
      <c r="C10" s="7" t="s">
        <v>92</v>
      </c>
      <c r="D10" s="8" t="n">
        <v>4918</v>
      </c>
      <c r="E10" s="7"/>
      <c r="F10" s="7"/>
      <c r="G10" s="7"/>
      <c r="H10" s="7"/>
      <c r="I10" s="7"/>
      <c r="J10" s="9" t="s">
        <v>103</v>
      </c>
      <c r="K10" s="8"/>
    </row>
    <row r="11" customFormat="false" ht="15" hidden="false" customHeight="false" outlineLevel="0" collapsed="false">
      <c r="A11" s="7" t="s">
        <v>89</v>
      </c>
      <c r="B11" s="7" t="s">
        <v>104</v>
      </c>
      <c r="C11" s="7" t="s">
        <v>92</v>
      </c>
      <c r="D11" s="8" t="n">
        <v>4588</v>
      </c>
      <c r="E11" s="7"/>
      <c r="F11" s="7"/>
      <c r="G11" s="7"/>
      <c r="H11" s="7"/>
      <c r="I11" s="7"/>
      <c r="J11" s="9" t="s">
        <v>105</v>
      </c>
      <c r="K11" s="8"/>
    </row>
    <row r="12" customFormat="false" ht="15" hidden="false" customHeight="false" outlineLevel="0" collapsed="false">
      <c r="A12" s="7" t="s">
        <v>89</v>
      </c>
      <c r="B12" s="7" t="s">
        <v>106</v>
      </c>
      <c r="C12" s="7" t="s">
        <v>92</v>
      </c>
      <c r="D12" s="8" t="n">
        <v>3562</v>
      </c>
      <c r="E12" s="7"/>
      <c r="F12" s="7"/>
      <c r="G12" s="7"/>
      <c r="H12" s="7"/>
      <c r="I12" s="7"/>
      <c r="J12" s="9" t="s">
        <v>107</v>
      </c>
      <c r="K12" s="8"/>
    </row>
    <row r="13" customFormat="false" ht="15" hidden="false" customHeight="false" outlineLevel="0" collapsed="false">
      <c r="A13" s="7" t="s">
        <v>89</v>
      </c>
      <c r="B13" s="7" t="s">
        <v>108</v>
      </c>
      <c r="C13" s="7" t="s">
        <v>92</v>
      </c>
      <c r="D13" s="8" t="n">
        <v>839</v>
      </c>
      <c r="E13" s="7"/>
      <c r="F13" s="7"/>
      <c r="G13" s="7"/>
      <c r="H13" s="7"/>
      <c r="I13" s="7"/>
      <c r="J13" s="9" t="s">
        <v>109</v>
      </c>
      <c r="K13" s="8"/>
    </row>
    <row r="14" customFormat="false" ht="15" hidden="false" customHeight="false" outlineLevel="0" collapsed="false">
      <c r="A14" s="7" t="s">
        <v>89</v>
      </c>
      <c r="B14" s="7" t="s">
        <v>110</v>
      </c>
      <c r="C14" s="7" t="s">
        <v>92</v>
      </c>
      <c r="D14" s="8" t="n">
        <v>952</v>
      </c>
      <c r="E14" s="7"/>
      <c r="F14" s="7"/>
      <c r="G14" s="7"/>
      <c r="H14" s="7"/>
      <c r="I14" s="7"/>
      <c r="J14" s="9" t="s">
        <v>111</v>
      </c>
      <c r="K14" s="8"/>
    </row>
    <row r="15" customFormat="false" ht="15" hidden="false" customHeight="false" outlineLevel="0" collapsed="false">
      <c r="A15" s="7" t="s">
        <v>89</v>
      </c>
      <c r="B15" s="7" t="s">
        <v>112</v>
      </c>
      <c r="C15" s="7" t="s">
        <v>92</v>
      </c>
      <c r="D15" s="8" t="n">
        <v>1319</v>
      </c>
      <c r="E15" s="7"/>
      <c r="F15" s="7"/>
      <c r="G15" s="7"/>
      <c r="H15" s="7"/>
      <c r="I15" s="7"/>
      <c r="J15" s="9" t="s">
        <v>113</v>
      </c>
      <c r="K15" s="8"/>
    </row>
    <row r="16" customFormat="false" ht="15" hidden="false" customHeight="false" outlineLevel="0" collapsed="false">
      <c r="A16" s="7" t="s">
        <v>89</v>
      </c>
      <c r="B16" s="7" t="s">
        <v>114</v>
      </c>
      <c r="C16" s="7" t="s">
        <v>92</v>
      </c>
      <c r="D16" s="8" t="n">
        <v>1337</v>
      </c>
      <c r="E16" s="7"/>
      <c r="F16" s="7"/>
      <c r="G16" s="7"/>
      <c r="H16" s="7"/>
      <c r="I16" s="7"/>
      <c r="J16" s="9" t="s">
        <v>115</v>
      </c>
      <c r="K16" s="8"/>
    </row>
    <row r="17" customFormat="false" ht="15" hidden="false" customHeight="false" outlineLevel="0" collapsed="false">
      <c r="A17" s="7" t="s">
        <v>89</v>
      </c>
      <c r="B17" s="7" t="s">
        <v>116</v>
      </c>
      <c r="C17" s="7" t="s">
        <v>92</v>
      </c>
      <c r="D17" s="8" t="n">
        <v>2323</v>
      </c>
      <c r="E17" s="7"/>
      <c r="F17" s="7"/>
      <c r="G17" s="7"/>
      <c r="H17" s="7"/>
      <c r="I17" s="7"/>
      <c r="J17" s="9" t="s">
        <v>117</v>
      </c>
      <c r="K17" s="8"/>
    </row>
    <row r="18" customFormat="false" ht="15" hidden="false" customHeight="false" outlineLevel="0" collapsed="false">
      <c r="A18" s="7" t="s">
        <v>89</v>
      </c>
      <c r="B18" s="7" t="s">
        <v>118</v>
      </c>
      <c r="C18" s="7" t="s">
        <v>92</v>
      </c>
      <c r="D18" s="8" t="n">
        <v>5288</v>
      </c>
      <c r="E18" s="7"/>
      <c r="F18" s="7"/>
      <c r="G18" s="7"/>
      <c r="H18" s="7"/>
      <c r="I18" s="7"/>
      <c r="J18" s="9" t="s">
        <v>119</v>
      </c>
      <c r="K18" s="8"/>
    </row>
    <row r="19" customFormat="false" ht="15" hidden="false" customHeight="false" outlineLevel="0" collapsed="false">
      <c r="A19" s="7" t="s">
        <v>89</v>
      </c>
      <c r="B19" s="7" t="s">
        <v>120</v>
      </c>
      <c r="C19" s="7" t="s">
        <v>92</v>
      </c>
      <c r="D19" s="8" t="n">
        <v>4644</v>
      </c>
      <c r="E19" s="7"/>
      <c r="F19" s="7"/>
      <c r="G19" s="7"/>
      <c r="H19" s="7"/>
      <c r="I19" s="7"/>
      <c r="J19" s="9" t="s">
        <v>121</v>
      </c>
      <c r="K19" s="8"/>
    </row>
    <row r="20" customFormat="false" ht="15" hidden="false" customHeight="false" outlineLevel="0" collapsed="false">
      <c r="A20" s="7" t="s">
        <v>89</v>
      </c>
      <c r="B20" s="7" t="s">
        <v>122</v>
      </c>
      <c r="C20" s="7" t="s">
        <v>92</v>
      </c>
      <c r="D20" s="8" t="n">
        <v>1947</v>
      </c>
      <c r="E20" s="7"/>
      <c r="F20" s="7"/>
      <c r="G20" s="7"/>
      <c r="H20" s="7"/>
      <c r="I20" s="7"/>
      <c r="J20" s="9" t="s">
        <v>123</v>
      </c>
      <c r="K20" s="8"/>
    </row>
    <row r="21" customFormat="false" ht="15" hidden="false" customHeight="false" outlineLevel="0" collapsed="false">
      <c r="A21" s="7" t="s">
        <v>89</v>
      </c>
      <c r="B21" s="7" t="s">
        <v>124</v>
      </c>
      <c r="C21" s="7" t="s">
        <v>92</v>
      </c>
      <c r="D21" s="8" t="n">
        <v>4653</v>
      </c>
      <c r="E21" s="7"/>
      <c r="F21" s="7"/>
      <c r="G21" s="7"/>
      <c r="H21" s="7"/>
      <c r="I21" s="7"/>
      <c r="J21" s="9" t="s">
        <v>125</v>
      </c>
      <c r="K21" s="8"/>
    </row>
    <row r="22" customFormat="false" ht="15" hidden="false" customHeight="false" outlineLevel="0" collapsed="false">
      <c r="A22" s="7" t="s">
        <v>89</v>
      </c>
      <c r="B22" s="7" t="s">
        <v>126</v>
      </c>
      <c r="C22" s="7" t="s">
        <v>92</v>
      </c>
      <c r="D22" s="8" t="n">
        <v>3034</v>
      </c>
      <c r="E22" s="7"/>
      <c r="F22" s="7"/>
      <c r="G22" s="7"/>
      <c r="H22" s="7"/>
      <c r="I22" s="7"/>
      <c r="J22" s="9" t="s">
        <v>127</v>
      </c>
      <c r="K22" s="8"/>
    </row>
    <row r="23" customFormat="false" ht="15" hidden="false" customHeight="false" outlineLevel="0" collapsed="false">
      <c r="A23" s="7" t="s">
        <v>89</v>
      </c>
      <c r="B23" s="7" t="s">
        <v>128</v>
      </c>
      <c r="C23" s="7" t="s">
        <v>92</v>
      </c>
      <c r="D23" s="8" t="n">
        <v>5260</v>
      </c>
      <c r="E23" s="7"/>
      <c r="F23" s="7"/>
      <c r="G23" s="7"/>
      <c r="H23" s="7"/>
      <c r="I23" s="7"/>
      <c r="J23" s="9" t="s">
        <v>129</v>
      </c>
      <c r="K23" s="8"/>
    </row>
    <row r="24" customFormat="false" ht="15" hidden="false" customHeight="false" outlineLevel="0" collapsed="false">
      <c r="A24" s="7" t="s">
        <v>89</v>
      </c>
      <c r="B24" s="7" t="s">
        <v>130</v>
      </c>
      <c r="C24" s="7" t="s">
        <v>92</v>
      </c>
      <c r="D24" s="8" t="n">
        <v>5189</v>
      </c>
      <c r="E24" s="7"/>
      <c r="F24" s="7"/>
      <c r="G24" s="7"/>
      <c r="H24" s="7"/>
      <c r="I24" s="7"/>
      <c r="J24" s="9" t="s">
        <v>131</v>
      </c>
      <c r="K24" s="8"/>
    </row>
    <row r="25" customFormat="false" ht="15" hidden="false" customHeight="false" outlineLevel="0" collapsed="false">
      <c r="A25" s="7" t="s">
        <v>89</v>
      </c>
      <c r="B25" s="7" t="s">
        <v>132</v>
      </c>
      <c r="C25" s="7" t="s">
        <v>92</v>
      </c>
      <c r="D25" s="8" t="n">
        <v>2980</v>
      </c>
      <c r="E25" s="7"/>
      <c r="F25" s="7"/>
      <c r="G25" s="7"/>
      <c r="H25" s="7"/>
      <c r="I25" s="7"/>
      <c r="J25" s="9" t="s">
        <v>133</v>
      </c>
      <c r="K25" s="8"/>
    </row>
    <row r="26" customFormat="false" ht="15" hidden="false" customHeight="false" outlineLevel="0" collapsed="false">
      <c r="A26" s="7" t="s">
        <v>89</v>
      </c>
      <c r="B26" s="7" t="s">
        <v>134</v>
      </c>
      <c r="C26" s="7" t="s">
        <v>92</v>
      </c>
      <c r="D26" s="8" t="n">
        <v>3941</v>
      </c>
      <c r="E26" s="7"/>
      <c r="F26" s="7"/>
      <c r="G26" s="7"/>
      <c r="H26" s="7"/>
      <c r="I26" s="7"/>
      <c r="J26" s="9" t="s">
        <v>135</v>
      </c>
      <c r="K26" s="8"/>
    </row>
    <row r="27" customFormat="false" ht="15" hidden="false" customHeight="false" outlineLevel="0" collapsed="false">
      <c r="A27" s="7" t="s">
        <v>89</v>
      </c>
      <c r="B27" s="7" t="s">
        <v>136</v>
      </c>
      <c r="C27" s="7" t="s">
        <v>92</v>
      </c>
      <c r="D27" s="8" t="n">
        <v>4954</v>
      </c>
      <c r="E27" s="7"/>
      <c r="F27" s="7"/>
      <c r="G27" s="7"/>
      <c r="H27" s="7"/>
      <c r="I27" s="7"/>
      <c r="J27" s="9" t="s">
        <v>137</v>
      </c>
      <c r="K27" s="8"/>
    </row>
    <row r="28" customFormat="false" ht="15" hidden="false" customHeight="false" outlineLevel="0" collapsed="false">
      <c r="A28" s="7" t="s">
        <v>89</v>
      </c>
      <c r="B28" s="7" t="s">
        <v>138</v>
      </c>
      <c r="C28" s="7" t="s">
        <v>92</v>
      </c>
      <c r="D28" s="8" t="n">
        <v>4021</v>
      </c>
      <c r="E28" s="7"/>
      <c r="F28" s="7"/>
      <c r="G28" s="7"/>
      <c r="H28" s="7"/>
      <c r="I28" s="7"/>
      <c r="J28" s="9" t="s">
        <v>139</v>
      </c>
      <c r="K28" s="8"/>
    </row>
    <row r="29" customFormat="false" ht="15" hidden="false" customHeight="false" outlineLevel="0" collapsed="false">
      <c r="A29" s="7" t="s">
        <v>89</v>
      </c>
      <c r="B29" s="7" t="s">
        <v>140</v>
      </c>
      <c r="C29" s="7" t="s">
        <v>92</v>
      </c>
      <c r="D29" s="8" t="n">
        <v>3967</v>
      </c>
      <c r="E29" s="7"/>
      <c r="F29" s="7"/>
      <c r="G29" s="7"/>
      <c r="H29" s="7"/>
      <c r="I29" s="7"/>
      <c r="J29" s="9" t="s">
        <v>141</v>
      </c>
      <c r="K29" s="8"/>
    </row>
    <row r="30" customFormat="false" ht="15" hidden="false" customHeight="false" outlineLevel="0" collapsed="false">
      <c r="A30" s="7" t="s">
        <v>89</v>
      </c>
      <c r="B30" s="7" t="s">
        <v>142</v>
      </c>
      <c r="C30" s="7" t="s">
        <v>92</v>
      </c>
      <c r="D30" s="8" t="n">
        <v>817</v>
      </c>
      <c r="E30" s="7"/>
      <c r="F30" s="7"/>
      <c r="G30" s="7"/>
      <c r="H30" s="7"/>
      <c r="I30" s="7"/>
      <c r="J30" s="9" t="s">
        <v>143</v>
      </c>
      <c r="K30" s="8"/>
    </row>
    <row r="31" customFormat="false" ht="15" hidden="false" customHeight="false" outlineLevel="0" collapsed="false">
      <c r="A31" s="7" t="s">
        <v>89</v>
      </c>
      <c r="B31" s="7" t="s">
        <v>144</v>
      </c>
      <c r="C31" s="7" t="s">
        <v>92</v>
      </c>
      <c r="D31" s="8" t="n">
        <v>1779</v>
      </c>
      <c r="E31" s="7"/>
      <c r="F31" s="7"/>
      <c r="G31" s="7"/>
      <c r="H31" s="7"/>
      <c r="I31" s="7"/>
      <c r="J31" s="9" t="s">
        <v>145</v>
      </c>
      <c r="K31" s="8"/>
    </row>
    <row r="32" customFormat="false" ht="15" hidden="false" customHeight="false" outlineLevel="0" collapsed="false">
      <c r="A32" s="7" t="s">
        <v>89</v>
      </c>
      <c r="B32" s="7" t="s">
        <v>146</v>
      </c>
      <c r="C32" s="7" t="s">
        <v>92</v>
      </c>
      <c r="D32" s="8" t="n">
        <v>677</v>
      </c>
      <c r="E32" s="7"/>
      <c r="F32" s="7"/>
      <c r="G32" s="7"/>
      <c r="H32" s="7"/>
      <c r="I32" s="7"/>
      <c r="J32" s="9" t="s">
        <v>147</v>
      </c>
      <c r="K32" s="8"/>
    </row>
    <row r="33" customFormat="false" ht="15" hidden="false" customHeight="false" outlineLevel="0" collapsed="false">
      <c r="A33" s="7" t="s">
        <v>89</v>
      </c>
      <c r="B33" s="7" t="s">
        <v>148</v>
      </c>
      <c r="C33" s="7" t="s">
        <v>92</v>
      </c>
      <c r="D33" s="8" t="n">
        <v>2120</v>
      </c>
      <c r="E33" s="7"/>
      <c r="F33" s="7"/>
      <c r="G33" s="7"/>
      <c r="H33" s="7"/>
      <c r="I33" s="7"/>
      <c r="J33" s="9" t="s">
        <v>149</v>
      </c>
      <c r="K33" s="8"/>
    </row>
    <row r="34" customFormat="false" ht="15" hidden="false" customHeight="false" outlineLevel="0" collapsed="false">
      <c r="A34" s="7" t="s">
        <v>89</v>
      </c>
      <c r="B34" s="7" t="s">
        <v>150</v>
      </c>
      <c r="C34" s="7" t="s">
        <v>92</v>
      </c>
      <c r="D34" s="8" t="n">
        <v>2021</v>
      </c>
      <c r="E34" s="7"/>
      <c r="F34" s="7"/>
      <c r="G34" s="7"/>
      <c r="H34" s="7"/>
      <c r="I34" s="7"/>
      <c r="J34" s="9" t="s">
        <v>151</v>
      </c>
      <c r="K34" s="8"/>
    </row>
    <row r="35" customFormat="false" ht="15" hidden="false" customHeight="false" outlineLevel="0" collapsed="false">
      <c r="A35" s="7" t="s">
        <v>89</v>
      </c>
      <c r="B35" s="7" t="s">
        <v>152</v>
      </c>
      <c r="C35" s="7" t="s">
        <v>92</v>
      </c>
      <c r="D35" s="8" t="n">
        <v>2041</v>
      </c>
      <c r="E35" s="7"/>
      <c r="F35" s="7"/>
      <c r="G35" s="7"/>
      <c r="H35" s="7"/>
      <c r="I35" s="7"/>
      <c r="J35" s="9" t="s">
        <v>153</v>
      </c>
      <c r="K35" s="8"/>
    </row>
  </sheetData>
  <mergeCells count="2">
    <mergeCell ref="A1:K1"/>
    <mergeCell ref="A2:K2"/>
  </mergeCells>
  <dataValidations count="2">
    <dataValidation allowBlank="true" errorStyle="stop" operator="between" showDropDown="false" showErrorMessage="false" showInputMessage="false" sqref="I5:I35" type="list">
      <formula1>"Matches,Fragmented,Missing,Needs variant,Needs new component,Deprecated"</formula1>
      <formula2>0</formula2>
    </dataValidation>
    <dataValidation allowBlank="true" errorStyle="stop" operator="between" showDropDown="false" showErrorMessage="false" showInputMessage="false" sqref="K5:K35" type="list">
      <formula1>"Yes,No,WIP"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4" min="3" style="0" width="12"/>
    <col collapsed="false" customWidth="true" hidden="false" outlineLevel="0" max="5" min="5" style="0" width="26"/>
    <col collapsed="false" customWidth="true" hidden="false" outlineLevel="0" max="6" min="6" style="0" width="32"/>
    <col collapsed="false" customWidth="true" hidden="false" outlineLevel="0" max="8" min="7" style="0" width="26"/>
    <col collapsed="false" customWidth="true" hidden="false" outlineLevel="0" max="9" min="9" style="0" width="22"/>
    <col collapsed="false" customWidth="true" hidden="false" outlineLevel="0" max="10" min="10" style="0" width="50"/>
    <col collapsed="false" customWidth="true" hidden="false" outlineLevel="0" max="11" min="11" style="0" width="14"/>
  </cols>
  <sheetData>
    <row r="1" customFormat="false" ht="21.75" hidden="false" customHeight="true" outlineLevel="0" collapsed="false">
      <c r="A1" s="5" t="s">
        <v>154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customFormat="false" ht="18" hidden="false" customHeight="true" outlineLevel="0" collapsed="false">
      <c r="A2" s="2" t="s">
        <v>155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1.75" hidden="false" customHeight="true" outlineLevel="0" collapsed="false">
      <c r="A4" s="6" t="s">
        <v>9</v>
      </c>
      <c r="B4" s="6" t="s">
        <v>11</v>
      </c>
      <c r="C4" s="6" t="s">
        <v>13</v>
      </c>
      <c r="D4" s="6" t="s">
        <v>15</v>
      </c>
      <c r="E4" s="6" t="s">
        <v>17</v>
      </c>
      <c r="F4" s="6" t="s">
        <v>19</v>
      </c>
      <c r="G4" s="6" t="s">
        <v>21</v>
      </c>
      <c r="H4" s="6" t="s">
        <v>23</v>
      </c>
      <c r="I4" s="6" t="s">
        <v>25</v>
      </c>
      <c r="J4" s="6" t="s">
        <v>27</v>
      </c>
      <c r="K4" s="6" t="s">
        <v>29</v>
      </c>
    </row>
    <row r="5" customFormat="false" ht="15" hidden="false" customHeight="false" outlineLevel="0" collapsed="false">
      <c r="A5" s="7" t="s">
        <v>156</v>
      </c>
      <c r="B5" s="7" t="s">
        <v>157</v>
      </c>
      <c r="C5" s="7" t="s">
        <v>92</v>
      </c>
      <c r="D5" s="8" t="n">
        <v>2457</v>
      </c>
      <c r="E5" s="7"/>
      <c r="F5" s="7"/>
      <c r="G5" s="7"/>
      <c r="H5" s="7"/>
      <c r="I5" s="7"/>
      <c r="J5" s="9" t="s">
        <v>158</v>
      </c>
      <c r="K5" s="8"/>
    </row>
    <row r="6" customFormat="false" ht="15" hidden="false" customHeight="false" outlineLevel="0" collapsed="false">
      <c r="A6" s="7" t="s">
        <v>159</v>
      </c>
      <c r="B6" s="7" t="s">
        <v>160</v>
      </c>
      <c r="C6" s="7" t="s">
        <v>92</v>
      </c>
      <c r="D6" s="8" t="n">
        <v>2744</v>
      </c>
      <c r="E6" s="7"/>
      <c r="F6" s="7"/>
      <c r="G6" s="7"/>
      <c r="H6" s="7"/>
      <c r="I6" s="7"/>
      <c r="J6" s="9" t="s">
        <v>161</v>
      </c>
      <c r="K6" s="8"/>
    </row>
    <row r="7" customFormat="false" ht="15" hidden="false" customHeight="false" outlineLevel="0" collapsed="false">
      <c r="A7" s="7" t="s">
        <v>159</v>
      </c>
      <c r="B7" s="7" t="s">
        <v>162</v>
      </c>
      <c r="C7" s="7" t="s">
        <v>92</v>
      </c>
      <c r="D7" s="8" t="n">
        <v>2814</v>
      </c>
      <c r="E7" s="7"/>
      <c r="F7" s="7"/>
      <c r="G7" s="7"/>
      <c r="H7" s="7"/>
      <c r="I7" s="7"/>
      <c r="J7" s="9" t="s">
        <v>163</v>
      </c>
      <c r="K7" s="8"/>
    </row>
    <row r="8" customFormat="false" ht="15" hidden="false" customHeight="false" outlineLevel="0" collapsed="false">
      <c r="A8" s="7" t="s">
        <v>164</v>
      </c>
      <c r="B8" s="7" t="s">
        <v>165</v>
      </c>
      <c r="C8" s="7" t="s">
        <v>92</v>
      </c>
      <c r="D8" s="8" t="n">
        <v>3331</v>
      </c>
      <c r="E8" s="7"/>
      <c r="F8" s="7"/>
      <c r="G8" s="7"/>
      <c r="H8" s="7"/>
      <c r="I8" s="7"/>
      <c r="J8" s="9" t="s">
        <v>166</v>
      </c>
      <c r="K8" s="8"/>
    </row>
    <row r="9" customFormat="false" ht="15" hidden="false" customHeight="false" outlineLevel="0" collapsed="false">
      <c r="A9" s="7" t="s">
        <v>164</v>
      </c>
      <c r="B9" s="7" t="s">
        <v>167</v>
      </c>
      <c r="C9" s="7" t="s">
        <v>92</v>
      </c>
      <c r="D9" s="8" t="n">
        <v>3506</v>
      </c>
      <c r="E9" s="7"/>
      <c r="F9" s="7"/>
      <c r="G9" s="7"/>
      <c r="H9" s="7"/>
      <c r="I9" s="7"/>
      <c r="J9" s="9" t="s">
        <v>168</v>
      </c>
      <c r="K9" s="8"/>
    </row>
    <row r="10" customFormat="false" ht="15" hidden="false" customHeight="false" outlineLevel="0" collapsed="false">
      <c r="A10" s="7" t="s">
        <v>169</v>
      </c>
      <c r="B10" s="7" t="s">
        <v>170</v>
      </c>
      <c r="C10" s="7" t="s">
        <v>92</v>
      </c>
      <c r="D10" s="8" t="n">
        <v>4082</v>
      </c>
      <c r="E10" s="7"/>
      <c r="F10" s="7"/>
      <c r="G10" s="7"/>
      <c r="H10" s="7"/>
      <c r="I10" s="7"/>
      <c r="J10" s="9" t="s">
        <v>171</v>
      </c>
      <c r="K10" s="8"/>
    </row>
    <row r="11" customFormat="false" ht="15" hidden="false" customHeight="false" outlineLevel="0" collapsed="false">
      <c r="A11" s="7" t="s">
        <v>172</v>
      </c>
      <c r="B11" s="7" t="s">
        <v>173</v>
      </c>
      <c r="C11" s="7" t="s">
        <v>92</v>
      </c>
      <c r="D11" s="8" t="n">
        <v>4267</v>
      </c>
      <c r="E11" s="7"/>
      <c r="F11" s="7"/>
      <c r="G11" s="7"/>
      <c r="H11" s="7"/>
      <c r="I11" s="7"/>
      <c r="J11" s="9" t="s">
        <v>174</v>
      </c>
      <c r="K11" s="8"/>
    </row>
    <row r="12" customFormat="false" ht="15" hidden="false" customHeight="false" outlineLevel="0" collapsed="false">
      <c r="A12" s="7" t="s">
        <v>172</v>
      </c>
      <c r="B12" s="7" t="s">
        <v>175</v>
      </c>
      <c r="C12" s="7" t="s">
        <v>92</v>
      </c>
      <c r="D12" s="8" t="n">
        <v>4315</v>
      </c>
      <c r="E12" s="7"/>
      <c r="F12" s="7"/>
      <c r="G12" s="7"/>
      <c r="H12" s="7"/>
      <c r="I12" s="7"/>
      <c r="J12" s="9" t="s">
        <v>176</v>
      </c>
      <c r="K12" s="8"/>
    </row>
    <row r="13" customFormat="false" ht="15" hidden="false" customHeight="false" outlineLevel="0" collapsed="false">
      <c r="A13" s="7" t="s">
        <v>172</v>
      </c>
      <c r="B13" s="7" t="s">
        <v>177</v>
      </c>
      <c r="C13" s="7" t="s">
        <v>92</v>
      </c>
      <c r="D13" s="8" t="n">
        <v>4384</v>
      </c>
      <c r="E13" s="7"/>
      <c r="F13" s="7"/>
      <c r="G13" s="7"/>
      <c r="H13" s="7"/>
      <c r="I13" s="7"/>
      <c r="J13" s="9" t="s">
        <v>178</v>
      </c>
      <c r="K13" s="8"/>
    </row>
    <row r="14" customFormat="false" ht="15" hidden="false" customHeight="false" outlineLevel="0" collapsed="false">
      <c r="A14" s="7" t="s">
        <v>179</v>
      </c>
      <c r="B14" s="7" t="s">
        <v>180</v>
      </c>
      <c r="C14" s="7" t="s">
        <v>92</v>
      </c>
      <c r="D14" s="8" t="n">
        <v>4792</v>
      </c>
      <c r="E14" s="7"/>
      <c r="F14" s="7"/>
      <c r="G14" s="7"/>
      <c r="H14" s="7"/>
      <c r="I14" s="7"/>
      <c r="J14" s="9" t="s">
        <v>181</v>
      </c>
      <c r="K14" s="8"/>
    </row>
    <row r="15" customFormat="false" ht="15" hidden="false" customHeight="false" outlineLevel="0" collapsed="false">
      <c r="A15" s="7" t="s">
        <v>179</v>
      </c>
      <c r="B15" s="7" t="s">
        <v>182</v>
      </c>
      <c r="C15" s="7" t="s">
        <v>92</v>
      </c>
      <c r="D15" s="8" t="n">
        <v>4816</v>
      </c>
      <c r="E15" s="7"/>
      <c r="F15" s="7"/>
      <c r="G15" s="7"/>
      <c r="H15" s="7"/>
      <c r="I15" s="7"/>
      <c r="J15" s="9" t="s">
        <v>183</v>
      </c>
      <c r="K15" s="8"/>
    </row>
    <row r="16" customFormat="false" ht="15" hidden="false" customHeight="false" outlineLevel="0" collapsed="false">
      <c r="A16" s="7" t="s">
        <v>179</v>
      </c>
      <c r="B16" s="7" t="s">
        <v>184</v>
      </c>
      <c r="C16" s="7" t="s">
        <v>92</v>
      </c>
      <c r="D16" s="8" t="n">
        <v>4853</v>
      </c>
      <c r="E16" s="7"/>
      <c r="F16" s="7"/>
      <c r="G16" s="7"/>
      <c r="H16" s="7"/>
      <c r="I16" s="7"/>
      <c r="J16" s="9" t="s">
        <v>185</v>
      </c>
      <c r="K16" s="8"/>
    </row>
    <row r="17" customFormat="false" ht="15" hidden="false" customHeight="false" outlineLevel="0" collapsed="false">
      <c r="A17" s="7" t="s">
        <v>186</v>
      </c>
      <c r="B17" s="7" t="s">
        <v>187</v>
      </c>
      <c r="C17" s="7" t="s">
        <v>92</v>
      </c>
      <c r="D17" s="8" t="n">
        <v>5109</v>
      </c>
      <c r="E17" s="7"/>
      <c r="F17" s="7"/>
      <c r="G17" s="7"/>
      <c r="H17" s="7"/>
      <c r="I17" s="7"/>
      <c r="J17" s="9" t="s">
        <v>188</v>
      </c>
      <c r="K17" s="8"/>
    </row>
    <row r="18" customFormat="false" ht="15" hidden="false" customHeight="false" outlineLevel="0" collapsed="false">
      <c r="A18" s="7" t="s">
        <v>189</v>
      </c>
      <c r="B18" s="7" t="s">
        <v>190</v>
      </c>
      <c r="C18" s="7" t="s">
        <v>92</v>
      </c>
      <c r="D18" s="8" t="n">
        <v>5770</v>
      </c>
      <c r="E18" s="7"/>
      <c r="F18" s="7"/>
      <c r="G18" s="7"/>
      <c r="H18" s="7"/>
      <c r="I18" s="7"/>
      <c r="J18" s="9" t="s">
        <v>191</v>
      </c>
      <c r="K18" s="8"/>
    </row>
    <row r="19" customFormat="false" ht="15" hidden="false" customHeight="false" outlineLevel="0" collapsed="false">
      <c r="A19" s="7" t="s">
        <v>192</v>
      </c>
      <c r="B19" s="7" t="s">
        <v>193</v>
      </c>
      <c r="C19" s="7" t="s">
        <v>92</v>
      </c>
      <c r="D19" s="8" t="n">
        <v>6059</v>
      </c>
      <c r="E19" s="7"/>
      <c r="F19" s="7"/>
      <c r="G19" s="7"/>
      <c r="H19" s="7"/>
      <c r="I19" s="7"/>
      <c r="J19" s="9" t="s">
        <v>194</v>
      </c>
      <c r="K19" s="8"/>
    </row>
    <row r="20" customFormat="false" ht="15" hidden="false" customHeight="false" outlineLevel="0" collapsed="false">
      <c r="A20" s="7" t="s">
        <v>195</v>
      </c>
      <c r="B20" s="7" t="s">
        <v>196</v>
      </c>
      <c r="C20" s="7" t="s">
        <v>92</v>
      </c>
      <c r="D20" s="8" t="n">
        <v>6175</v>
      </c>
      <c r="E20" s="7"/>
      <c r="F20" s="7"/>
      <c r="G20" s="7"/>
      <c r="H20" s="7"/>
      <c r="I20" s="7"/>
      <c r="J20" s="9" t="s">
        <v>197</v>
      </c>
      <c r="K20" s="8"/>
    </row>
    <row r="21" customFormat="false" ht="15" hidden="false" customHeight="false" outlineLevel="0" collapsed="false">
      <c r="A21" s="7" t="s">
        <v>195</v>
      </c>
      <c r="B21" s="7" t="s">
        <v>198</v>
      </c>
      <c r="C21" s="7" t="s">
        <v>92</v>
      </c>
      <c r="D21" s="8" t="n">
        <v>6209</v>
      </c>
      <c r="E21" s="7"/>
      <c r="F21" s="7"/>
      <c r="G21" s="7"/>
      <c r="H21" s="7"/>
      <c r="I21" s="7"/>
      <c r="J21" s="9" t="s">
        <v>199</v>
      </c>
      <c r="K21" s="8"/>
    </row>
  </sheetData>
  <mergeCells count="2">
    <mergeCell ref="A1:K1"/>
    <mergeCell ref="A2:K2"/>
  </mergeCells>
  <dataValidations count="2">
    <dataValidation allowBlank="true" errorStyle="stop" operator="between" showDropDown="false" showErrorMessage="false" showInputMessage="false" sqref="I5:I21" type="list">
      <formula1>"Matches,Fragmented,Missing,Needs variant,Needs new component,Deprecated"</formula1>
      <formula2>0</formula2>
    </dataValidation>
    <dataValidation allowBlank="true" errorStyle="stop" operator="between" showDropDown="false" showErrorMessage="false" showInputMessage="false" sqref="K5:K21" type="list">
      <formula1>"Yes,No,WIP"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4" min="3" style="0" width="12"/>
    <col collapsed="false" customWidth="true" hidden="false" outlineLevel="0" max="5" min="5" style="0" width="26"/>
    <col collapsed="false" customWidth="true" hidden="false" outlineLevel="0" max="6" min="6" style="0" width="32"/>
    <col collapsed="false" customWidth="true" hidden="false" outlineLevel="0" max="8" min="7" style="0" width="26"/>
    <col collapsed="false" customWidth="true" hidden="false" outlineLevel="0" max="9" min="9" style="0" width="22"/>
    <col collapsed="false" customWidth="true" hidden="false" outlineLevel="0" max="10" min="10" style="0" width="50"/>
    <col collapsed="false" customWidth="true" hidden="false" outlineLevel="0" max="11" min="11" style="0" width="14"/>
  </cols>
  <sheetData>
    <row r="1" customFormat="false" ht="21.75" hidden="false" customHeight="true" outlineLevel="0" collapsed="false">
      <c r="A1" s="5" t="s">
        <v>200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customFormat="false" ht="18" hidden="false" customHeight="true" outlineLevel="0" collapsed="false">
      <c r="A2" s="2" t="s">
        <v>201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1.75" hidden="false" customHeight="true" outlineLevel="0" collapsed="false">
      <c r="A4" s="6" t="s">
        <v>9</v>
      </c>
      <c r="B4" s="6" t="s">
        <v>11</v>
      </c>
      <c r="C4" s="6" t="s">
        <v>13</v>
      </c>
      <c r="D4" s="6" t="s">
        <v>15</v>
      </c>
      <c r="E4" s="6" t="s">
        <v>17</v>
      </c>
      <c r="F4" s="6" t="s">
        <v>19</v>
      </c>
      <c r="G4" s="6" t="s">
        <v>21</v>
      </c>
      <c r="H4" s="6" t="s">
        <v>23</v>
      </c>
      <c r="I4" s="6" t="s">
        <v>25</v>
      </c>
      <c r="J4" s="6" t="s">
        <v>27</v>
      </c>
      <c r="K4" s="6" t="s">
        <v>29</v>
      </c>
    </row>
    <row r="5" customFormat="false" ht="15" hidden="false" customHeight="false" outlineLevel="0" collapsed="false">
      <c r="A5" s="7" t="s">
        <v>202</v>
      </c>
      <c r="B5" s="7" t="s">
        <v>203</v>
      </c>
      <c r="C5" s="7" t="s">
        <v>204</v>
      </c>
      <c r="D5" s="8" t="n">
        <v>863</v>
      </c>
      <c r="E5" s="7"/>
      <c r="F5" s="7"/>
      <c r="G5" s="7"/>
      <c r="H5" s="7"/>
      <c r="I5" s="7"/>
      <c r="J5" s="9"/>
      <c r="K5" s="8"/>
    </row>
    <row r="6" customFormat="false" ht="15" hidden="false" customHeight="false" outlineLevel="0" collapsed="false">
      <c r="A6" s="7" t="s">
        <v>202</v>
      </c>
      <c r="B6" s="7" t="s">
        <v>205</v>
      </c>
      <c r="C6" s="7" t="s">
        <v>204</v>
      </c>
      <c r="D6" s="8" t="n">
        <v>1283</v>
      </c>
      <c r="E6" s="7"/>
      <c r="F6" s="7"/>
      <c r="G6" s="7"/>
      <c r="H6" s="7"/>
      <c r="I6" s="7"/>
      <c r="J6" s="9"/>
      <c r="K6" s="8"/>
    </row>
    <row r="7" customFormat="false" ht="15" hidden="false" customHeight="false" outlineLevel="0" collapsed="false">
      <c r="A7" s="7" t="s">
        <v>202</v>
      </c>
      <c r="B7" s="7" t="s">
        <v>206</v>
      </c>
      <c r="C7" s="7" t="s">
        <v>204</v>
      </c>
      <c r="D7" s="8" t="n">
        <v>1205</v>
      </c>
      <c r="E7" s="7"/>
      <c r="F7" s="7"/>
      <c r="G7" s="7"/>
      <c r="H7" s="7"/>
      <c r="I7" s="7"/>
      <c r="J7" s="9"/>
      <c r="K7" s="8"/>
    </row>
    <row r="8" customFormat="false" ht="15" hidden="false" customHeight="false" outlineLevel="0" collapsed="false">
      <c r="A8" s="7" t="s">
        <v>202</v>
      </c>
      <c r="B8" s="7" t="s">
        <v>207</v>
      </c>
      <c r="C8" s="7" t="s">
        <v>204</v>
      </c>
      <c r="D8" s="8" t="n">
        <v>2009</v>
      </c>
      <c r="E8" s="7"/>
      <c r="F8" s="7"/>
      <c r="G8" s="7"/>
      <c r="H8" s="7"/>
      <c r="I8" s="7"/>
      <c r="J8" s="9"/>
      <c r="K8" s="8"/>
    </row>
    <row r="9" customFormat="false" ht="15" hidden="false" customHeight="false" outlineLevel="0" collapsed="false">
      <c r="A9" s="7" t="s">
        <v>202</v>
      </c>
      <c r="B9" s="7" t="s">
        <v>208</v>
      </c>
      <c r="C9" s="7" t="s">
        <v>204</v>
      </c>
      <c r="D9" s="8" t="n">
        <v>2518</v>
      </c>
      <c r="E9" s="7"/>
      <c r="F9" s="7"/>
      <c r="G9" s="7"/>
      <c r="H9" s="7"/>
      <c r="I9" s="7"/>
      <c r="J9" s="9"/>
      <c r="K9" s="8"/>
    </row>
    <row r="10" customFormat="false" ht="15" hidden="false" customHeight="false" outlineLevel="0" collapsed="false">
      <c r="A10" s="7" t="s">
        <v>202</v>
      </c>
      <c r="B10" s="7" t="s">
        <v>209</v>
      </c>
      <c r="C10" s="7" t="s">
        <v>204</v>
      </c>
      <c r="D10" s="8" t="n">
        <v>2846</v>
      </c>
      <c r="E10" s="7"/>
      <c r="F10" s="7"/>
      <c r="G10" s="7"/>
      <c r="H10" s="7"/>
      <c r="I10" s="7"/>
      <c r="J10" s="9"/>
      <c r="K10" s="8"/>
    </row>
    <row r="11" customFormat="false" ht="15" hidden="false" customHeight="false" outlineLevel="0" collapsed="false">
      <c r="A11" s="7" t="s">
        <v>202</v>
      </c>
      <c r="B11" s="7" t="s">
        <v>210</v>
      </c>
      <c r="C11" s="7" t="s">
        <v>204</v>
      </c>
      <c r="D11" s="8" t="n">
        <v>3633</v>
      </c>
      <c r="E11" s="7"/>
      <c r="F11" s="7"/>
      <c r="G11" s="7"/>
      <c r="H11" s="7"/>
      <c r="I11" s="7"/>
      <c r="J11" s="9"/>
      <c r="K11" s="8"/>
    </row>
    <row r="12" customFormat="false" ht="15" hidden="false" customHeight="false" outlineLevel="0" collapsed="false">
      <c r="A12" s="7" t="s">
        <v>202</v>
      </c>
      <c r="B12" s="7" t="s">
        <v>211</v>
      </c>
      <c r="C12" s="7" t="s">
        <v>204</v>
      </c>
      <c r="D12" s="8" t="n">
        <v>5327</v>
      </c>
      <c r="E12" s="7"/>
      <c r="F12" s="7"/>
      <c r="G12" s="7"/>
      <c r="H12" s="7"/>
      <c r="I12" s="7"/>
      <c r="J12" s="9"/>
      <c r="K12" s="8"/>
    </row>
    <row r="13" customFormat="false" ht="15" hidden="false" customHeight="false" outlineLevel="0" collapsed="false">
      <c r="A13" s="7" t="s">
        <v>202</v>
      </c>
      <c r="B13" s="7" t="s">
        <v>212</v>
      </c>
      <c r="C13" s="7" t="s">
        <v>204</v>
      </c>
      <c r="D13" s="8" t="n">
        <v>4203</v>
      </c>
      <c r="E13" s="7"/>
      <c r="F13" s="7"/>
      <c r="G13" s="7"/>
      <c r="H13" s="7"/>
      <c r="I13" s="7"/>
      <c r="J13" s="9"/>
      <c r="K13" s="8"/>
    </row>
    <row r="14" customFormat="false" ht="15" hidden="false" customHeight="false" outlineLevel="0" collapsed="false">
      <c r="A14" s="7" t="s">
        <v>202</v>
      </c>
      <c r="B14" s="7" t="s">
        <v>213</v>
      </c>
      <c r="C14" s="7" t="s">
        <v>204</v>
      </c>
      <c r="D14" s="8" t="n">
        <v>4410</v>
      </c>
      <c r="E14" s="7"/>
      <c r="F14" s="7"/>
      <c r="G14" s="7"/>
      <c r="H14" s="7"/>
      <c r="I14" s="7"/>
      <c r="J14" s="9"/>
      <c r="K14" s="8"/>
    </row>
    <row r="15" customFormat="false" ht="15" hidden="false" customHeight="false" outlineLevel="0" collapsed="false">
      <c r="A15" s="7" t="s">
        <v>202</v>
      </c>
      <c r="B15" s="7" t="s">
        <v>214</v>
      </c>
      <c r="C15" s="7" t="s">
        <v>204</v>
      </c>
      <c r="D15" s="8" t="n">
        <v>2059</v>
      </c>
      <c r="E15" s="7"/>
      <c r="F15" s="7"/>
      <c r="G15" s="7"/>
      <c r="H15" s="7"/>
      <c r="I15" s="7"/>
      <c r="J15" s="9"/>
      <c r="K15" s="8"/>
    </row>
    <row r="16" customFormat="false" ht="15" hidden="false" customHeight="false" outlineLevel="0" collapsed="false">
      <c r="A16" s="7" t="s">
        <v>202</v>
      </c>
      <c r="B16" s="7" t="s">
        <v>215</v>
      </c>
      <c r="C16" s="7" t="s">
        <v>204</v>
      </c>
      <c r="D16" s="8" t="n">
        <v>2306</v>
      </c>
      <c r="E16" s="7"/>
      <c r="F16" s="7"/>
      <c r="G16" s="7"/>
      <c r="H16" s="7"/>
      <c r="I16" s="7"/>
      <c r="J16" s="9"/>
      <c r="K16" s="8"/>
    </row>
  </sheetData>
  <mergeCells count="2">
    <mergeCell ref="A1:K1"/>
    <mergeCell ref="A2:K2"/>
  </mergeCells>
  <dataValidations count="2">
    <dataValidation allowBlank="true" errorStyle="stop" operator="between" showDropDown="false" showErrorMessage="false" showInputMessage="false" sqref="I5:I16" type="list">
      <formula1>"Matches,Fragmented,Missing,Needs variant,Needs new component,Deprecated"</formula1>
      <formula2>0</formula2>
    </dataValidation>
    <dataValidation allowBlank="true" errorStyle="stop" operator="between" showDropDown="false" showErrorMessage="false" showInputMessage="false" sqref="K5:K16" type="list">
      <formula1>"Yes,No,WIP"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4" min="3" style="0" width="12"/>
    <col collapsed="false" customWidth="true" hidden="false" outlineLevel="0" max="5" min="5" style="0" width="26"/>
    <col collapsed="false" customWidth="true" hidden="false" outlineLevel="0" max="6" min="6" style="0" width="32"/>
    <col collapsed="false" customWidth="true" hidden="false" outlineLevel="0" max="8" min="7" style="0" width="26"/>
    <col collapsed="false" customWidth="true" hidden="false" outlineLevel="0" max="9" min="9" style="0" width="22"/>
    <col collapsed="false" customWidth="true" hidden="false" outlineLevel="0" max="10" min="10" style="0" width="50"/>
    <col collapsed="false" customWidth="true" hidden="false" outlineLevel="0" max="11" min="11" style="0" width="14"/>
  </cols>
  <sheetData>
    <row r="1" customFormat="false" ht="21.75" hidden="false" customHeight="true" outlineLevel="0" collapsed="false">
      <c r="A1" s="5" t="s">
        <v>216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customFormat="false" ht="18" hidden="false" customHeight="true" outlineLevel="0" collapsed="false">
      <c r="A2" s="2" t="s">
        <v>217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1.75" hidden="false" customHeight="true" outlineLevel="0" collapsed="false">
      <c r="A4" s="6" t="s">
        <v>9</v>
      </c>
      <c r="B4" s="6" t="s">
        <v>11</v>
      </c>
      <c r="C4" s="6" t="s">
        <v>13</v>
      </c>
      <c r="D4" s="6" t="s">
        <v>15</v>
      </c>
      <c r="E4" s="6" t="s">
        <v>17</v>
      </c>
      <c r="F4" s="6" t="s">
        <v>19</v>
      </c>
      <c r="G4" s="6" t="s">
        <v>21</v>
      </c>
      <c r="H4" s="6" t="s">
        <v>23</v>
      </c>
      <c r="I4" s="6" t="s">
        <v>25</v>
      </c>
      <c r="J4" s="6" t="s">
        <v>27</v>
      </c>
      <c r="K4" s="6" t="s">
        <v>29</v>
      </c>
    </row>
    <row r="5" customFormat="false" ht="15" hidden="false" customHeight="false" outlineLevel="0" collapsed="false">
      <c r="A5" s="7" t="s">
        <v>216</v>
      </c>
      <c r="B5" s="7" t="s">
        <v>218</v>
      </c>
      <c r="C5" s="7" t="s">
        <v>219</v>
      </c>
      <c r="D5" s="8"/>
      <c r="E5" s="7"/>
      <c r="F5" s="7"/>
      <c r="G5" s="7"/>
      <c r="H5" s="7"/>
      <c r="I5" s="7"/>
      <c r="J5" s="9"/>
      <c r="K5" s="8"/>
    </row>
    <row r="6" customFormat="false" ht="15" hidden="false" customHeight="false" outlineLevel="0" collapsed="false">
      <c r="A6" s="7" t="s">
        <v>216</v>
      </c>
      <c r="B6" s="7" t="s">
        <v>220</v>
      </c>
      <c r="C6" s="7" t="s">
        <v>219</v>
      </c>
      <c r="D6" s="8"/>
      <c r="E6" s="7"/>
      <c r="F6" s="7"/>
      <c r="G6" s="7"/>
      <c r="H6" s="7"/>
      <c r="I6" s="7"/>
      <c r="J6" s="9"/>
      <c r="K6" s="8"/>
    </row>
    <row r="7" customFormat="false" ht="15" hidden="false" customHeight="false" outlineLevel="0" collapsed="false">
      <c r="A7" s="7" t="s">
        <v>216</v>
      </c>
      <c r="B7" s="7" t="s">
        <v>221</v>
      </c>
      <c r="C7" s="7" t="s">
        <v>219</v>
      </c>
      <c r="D7" s="8"/>
      <c r="E7" s="7"/>
      <c r="F7" s="7"/>
      <c r="G7" s="7"/>
      <c r="H7" s="7"/>
      <c r="I7" s="7"/>
      <c r="J7" s="9"/>
      <c r="K7" s="8"/>
    </row>
    <row r="8" customFormat="false" ht="15" hidden="false" customHeight="false" outlineLevel="0" collapsed="false">
      <c r="A8" s="7" t="s">
        <v>216</v>
      </c>
      <c r="B8" s="7" t="s">
        <v>222</v>
      </c>
      <c r="C8" s="7" t="s">
        <v>219</v>
      </c>
      <c r="D8" s="8"/>
      <c r="E8" s="7"/>
      <c r="F8" s="7"/>
      <c r="G8" s="7"/>
      <c r="H8" s="7"/>
      <c r="I8" s="7"/>
      <c r="J8" s="9"/>
      <c r="K8" s="8"/>
    </row>
    <row r="9" customFormat="false" ht="15" hidden="false" customHeight="false" outlineLevel="0" collapsed="false">
      <c r="A9" s="7" t="s">
        <v>216</v>
      </c>
      <c r="B9" s="7" t="s">
        <v>223</v>
      </c>
      <c r="C9" s="7" t="s">
        <v>219</v>
      </c>
      <c r="D9" s="8"/>
      <c r="E9" s="7"/>
      <c r="F9" s="7"/>
      <c r="G9" s="7"/>
      <c r="H9" s="7"/>
      <c r="I9" s="7"/>
      <c r="J9" s="9"/>
      <c r="K9" s="8"/>
    </row>
    <row r="10" customFormat="false" ht="15" hidden="false" customHeight="false" outlineLevel="0" collapsed="false">
      <c r="A10" s="7" t="s">
        <v>216</v>
      </c>
      <c r="B10" s="7" t="s">
        <v>224</v>
      </c>
      <c r="C10" s="7" t="s">
        <v>219</v>
      </c>
      <c r="D10" s="8"/>
      <c r="E10" s="7"/>
      <c r="F10" s="7"/>
      <c r="G10" s="7"/>
      <c r="H10" s="7"/>
      <c r="I10" s="7"/>
      <c r="J10" s="9"/>
      <c r="K10" s="8"/>
    </row>
    <row r="11" customFormat="false" ht="15" hidden="false" customHeight="false" outlineLevel="0" collapsed="false">
      <c r="A11" s="7" t="s">
        <v>216</v>
      </c>
      <c r="B11" s="7" t="s">
        <v>225</v>
      </c>
      <c r="C11" s="7" t="s">
        <v>219</v>
      </c>
      <c r="D11" s="8"/>
      <c r="E11" s="7"/>
      <c r="F11" s="7"/>
      <c r="G11" s="7"/>
      <c r="H11" s="7"/>
      <c r="I11" s="7"/>
      <c r="J11" s="9"/>
      <c r="K11" s="8"/>
    </row>
    <row r="12" customFormat="false" ht="15" hidden="false" customHeight="false" outlineLevel="0" collapsed="false">
      <c r="A12" s="7" t="s">
        <v>216</v>
      </c>
      <c r="B12" s="7" t="s">
        <v>226</v>
      </c>
      <c r="C12" s="7" t="s">
        <v>219</v>
      </c>
      <c r="D12" s="8"/>
      <c r="E12" s="7"/>
      <c r="F12" s="7"/>
      <c r="G12" s="7"/>
      <c r="H12" s="7"/>
      <c r="I12" s="7"/>
      <c r="J12" s="9"/>
      <c r="K12" s="8"/>
    </row>
    <row r="13" customFormat="false" ht="15" hidden="false" customHeight="false" outlineLevel="0" collapsed="false">
      <c r="A13" s="7" t="s">
        <v>216</v>
      </c>
      <c r="B13" s="7" t="s">
        <v>227</v>
      </c>
      <c r="C13" s="7" t="s">
        <v>219</v>
      </c>
      <c r="D13" s="8"/>
      <c r="E13" s="7"/>
      <c r="F13" s="7"/>
      <c r="G13" s="7"/>
      <c r="H13" s="7"/>
      <c r="I13" s="7"/>
      <c r="J13" s="9"/>
      <c r="K13" s="8"/>
    </row>
    <row r="14" customFormat="false" ht="15" hidden="false" customHeight="false" outlineLevel="0" collapsed="false">
      <c r="A14" s="7" t="s">
        <v>216</v>
      </c>
      <c r="B14" s="7" t="s">
        <v>228</v>
      </c>
      <c r="C14" s="7" t="s">
        <v>219</v>
      </c>
      <c r="D14" s="8"/>
      <c r="E14" s="7"/>
      <c r="F14" s="7"/>
      <c r="G14" s="7"/>
      <c r="H14" s="7"/>
      <c r="I14" s="7"/>
      <c r="J14" s="9"/>
      <c r="K14" s="8"/>
    </row>
    <row r="15" customFormat="false" ht="15" hidden="false" customHeight="false" outlineLevel="0" collapsed="false">
      <c r="A15" s="7" t="s">
        <v>216</v>
      </c>
      <c r="B15" s="7" t="s">
        <v>229</v>
      </c>
      <c r="C15" s="7" t="s">
        <v>219</v>
      </c>
      <c r="D15" s="8"/>
      <c r="E15" s="7"/>
      <c r="F15" s="7"/>
      <c r="G15" s="7"/>
      <c r="H15" s="7"/>
      <c r="I15" s="7"/>
      <c r="J15" s="9"/>
      <c r="K15" s="8"/>
    </row>
    <row r="16" customFormat="false" ht="15" hidden="false" customHeight="false" outlineLevel="0" collapsed="false">
      <c r="A16" s="7" t="s">
        <v>216</v>
      </c>
      <c r="B16" s="7" t="s">
        <v>230</v>
      </c>
      <c r="C16" s="7" t="s">
        <v>219</v>
      </c>
      <c r="D16" s="8"/>
      <c r="E16" s="7"/>
      <c r="F16" s="7"/>
      <c r="G16" s="7"/>
      <c r="H16" s="7"/>
      <c r="I16" s="7"/>
      <c r="J16" s="9"/>
      <c r="K16" s="8"/>
    </row>
    <row r="17" customFormat="false" ht="15" hidden="false" customHeight="false" outlineLevel="0" collapsed="false">
      <c r="A17" s="7" t="s">
        <v>216</v>
      </c>
      <c r="B17" s="7" t="s">
        <v>231</v>
      </c>
      <c r="C17" s="7" t="s">
        <v>219</v>
      </c>
      <c r="D17" s="8"/>
      <c r="E17" s="7"/>
      <c r="F17" s="7"/>
      <c r="G17" s="7"/>
      <c r="H17" s="7"/>
      <c r="I17" s="7"/>
      <c r="J17" s="9"/>
      <c r="K17" s="8"/>
    </row>
    <row r="18" customFormat="false" ht="15" hidden="false" customHeight="false" outlineLevel="0" collapsed="false">
      <c r="A18" s="7" t="s">
        <v>216</v>
      </c>
      <c r="B18" s="7" t="s">
        <v>232</v>
      </c>
      <c r="C18" s="7" t="s">
        <v>219</v>
      </c>
      <c r="D18" s="8"/>
      <c r="E18" s="7"/>
      <c r="F18" s="7"/>
      <c r="G18" s="7"/>
      <c r="H18" s="7"/>
      <c r="I18" s="7"/>
      <c r="J18" s="9"/>
      <c r="K18" s="8"/>
    </row>
  </sheetData>
  <mergeCells count="2">
    <mergeCell ref="A1:K1"/>
    <mergeCell ref="A2:K2"/>
  </mergeCells>
  <dataValidations count="2">
    <dataValidation allowBlank="true" errorStyle="stop" operator="between" showDropDown="false" showErrorMessage="false" showInputMessage="false" sqref="I5:I18" type="list">
      <formula1>"Matches,Fragmented,Missing,Needs variant,Needs new component,Deprecated"</formula1>
      <formula2>0</formula2>
    </dataValidation>
    <dataValidation allowBlank="true" errorStyle="stop" operator="between" showDropDown="false" showErrorMessage="false" showInputMessage="false" sqref="K5:K18" type="list">
      <formula1>"Yes,No,WIP"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3" min="3" style="0" width="26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5" t="s">
        <v>233</v>
      </c>
      <c r="B1" s="5"/>
      <c r="C1" s="5"/>
      <c r="D1" s="5"/>
    </row>
    <row r="2" customFormat="false" ht="30" hidden="false" customHeight="true" outlineLevel="0" collapsed="false">
      <c r="A2" s="10" t="s">
        <v>234</v>
      </c>
      <c r="B2" s="10"/>
      <c r="C2" s="10"/>
      <c r="D2" s="10"/>
    </row>
    <row r="4" customFormat="false" ht="21.75" hidden="false" customHeight="true" outlineLevel="0" collapsed="false">
      <c r="A4" s="6" t="s">
        <v>235</v>
      </c>
      <c r="B4" s="6" t="s">
        <v>17</v>
      </c>
      <c r="C4" s="6" t="s">
        <v>236</v>
      </c>
      <c r="D4" s="6" t="s">
        <v>237</v>
      </c>
    </row>
    <row r="5" customFormat="false" ht="15" hidden="false" customHeight="false" outlineLevel="0" collapsed="false">
      <c r="A5" s="8" t="n">
        <v>1</v>
      </c>
      <c r="B5" s="7" t="s">
        <v>238</v>
      </c>
      <c r="C5" s="7" t="s">
        <v>239</v>
      </c>
      <c r="D5" s="9"/>
    </row>
    <row r="6" customFormat="false" ht="15" hidden="false" customHeight="false" outlineLevel="0" collapsed="false">
      <c r="A6" s="8" t="n">
        <v>2</v>
      </c>
      <c r="B6" s="7" t="s">
        <v>240</v>
      </c>
      <c r="C6" s="7" t="s">
        <v>239</v>
      </c>
      <c r="D6" s="9"/>
    </row>
    <row r="7" customFormat="false" ht="15" hidden="false" customHeight="false" outlineLevel="0" collapsed="false">
      <c r="A7" s="8" t="n">
        <v>3</v>
      </c>
      <c r="B7" s="7" t="s">
        <v>241</v>
      </c>
      <c r="C7" s="7" t="s">
        <v>239</v>
      </c>
      <c r="D7" s="9"/>
    </row>
    <row r="8" customFormat="false" ht="15" hidden="false" customHeight="false" outlineLevel="0" collapsed="false">
      <c r="A8" s="8" t="n">
        <v>4</v>
      </c>
      <c r="B8" s="7" t="s">
        <v>242</v>
      </c>
      <c r="C8" s="7" t="s">
        <v>239</v>
      </c>
      <c r="D8" s="9"/>
    </row>
    <row r="9" customFormat="false" ht="15" hidden="false" customHeight="false" outlineLevel="0" collapsed="false">
      <c r="A9" s="8" t="n">
        <v>5</v>
      </c>
      <c r="B9" s="7" t="s">
        <v>243</v>
      </c>
      <c r="C9" s="7" t="s">
        <v>239</v>
      </c>
      <c r="D9" s="9"/>
    </row>
    <row r="10" customFormat="false" ht="15" hidden="false" customHeight="false" outlineLevel="0" collapsed="false">
      <c r="A10" s="8" t="n">
        <v>6</v>
      </c>
      <c r="B10" s="7" t="s">
        <v>244</v>
      </c>
      <c r="C10" s="7" t="s">
        <v>239</v>
      </c>
      <c r="D10" s="9"/>
    </row>
    <row r="11" customFormat="false" ht="15" hidden="false" customHeight="false" outlineLevel="0" collapsed="false">
      <c r="A11" s="8" t="n">
        <v>7</v>
      </c>
      <c r="B11" s="7" t="s">
        <v>245</v>
      </c>
      <c r="C11" s="7" t="s">
        <v>239</v>
      </c>
      <c r="D11" s="9"/>
    </row>
    <row r="12" customFormat="false" ht="15" hidden="false" customHeight="false" outlineLevel="0" collapsed="false">
      <c r="A12" s="8" t="n">
        <v>8</v>
      </c>
      <c r="B12" s="7" t="s">
        <v>246</v>
      </c>
      <c r="C12" s="7" t="s">
        <v>239</v>
      </c>
      <c r="D12" s="9"/>
    </row>
    <row r="13" customFormat="false" ht="15" hidden="false" customHeight="false" outlineLevel="0" collapsed="false">
      <c r="A13" s="8" t="n">
        <v>9</v>
      </c>
      <c r="B13" s="7" t="s">
        <v>247</v>
      </c>
      <c r="C13" s="7" t="s">
        <v>239</v>
      </c>
      <c r="D13" s="9"/>
    </row>
    <row r="14" customFormat="false" ht="15" hidden="false" customHeight="false" outlineLevel="0" collapsed="false">
      <c r="A14" s="8" t="n">
        <v>10</v>
      </c>
      <c r="B14" s="7" t="s">
        <v>248</v>
      </c>
      <c r="C14" s="7" t="s">
        <v>239</v>
      </c>
      <c r="D14" s="9"/>
    </row>
    <row r="15" customFormat="false" ht="15" hidden="false" customHeight="false" outlineLevel="0" collapsed="false">
      <c r="A15" s="8" t="n">
        <v>11</v>
      </c>
      <c r="B15" s="7" t="s">
        <v>249</v>
      </c>
      <c r="C15" s="7" t="s">
        <v>239</v>
      </c>
      <c r="D15" s="9"/>
    </row>
    <row r="17" customFormat="false" ht="15" hidden="false" customHeight="false" outlineLevel="0" collapsed="false">
      <c r="B17" s="11" t="s">
        <v>250</v>
      </c>
      <c r="C17" s="12" t="n">
        <f aca="false">COUNTA(B5:B15)</f>
        <v>11</v>
      </c>
    </row>
    <row r="18" customFormat="false" ht="15" hidden="false" customHeight="false" outlineLevel="0" collapsed="false">
      <c r="B18" s="11" t="s">
        <v>251</v>
      </c>
      <c r="C18" s="12" t="n">
        <v>2</v>
      </c>
    </row>
    <row r="19" customFormat="false" ht="15" hidden="false" customHeight="false" outlineLevel="0" collapsed="false">
      <c r="B19" s="11" t="s">
        <v>252</v>
      </c>
      <c r="C19" s="13" t="n">
        <f aca="false">C17/C18</f>
        <v>5.5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2026-05-19T01:36:04Z</dcterms:created>
  <dc:creator>openpyxl</dc:creator>
  <dc:description/>
  <dc:language>en-US</dc:language>
  <cp:lastModifiedBy/>
  <dcterms:modified xsi:type="dcterms:W3CDTF">2026-05-19T01:36:04Z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